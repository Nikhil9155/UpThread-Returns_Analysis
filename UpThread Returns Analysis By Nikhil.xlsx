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E:\Data Analyst\Projects\PurpleMerit\"/>
    </mc:Choice>
  </mc:AlternateContent>
  <xr:revisionPtr revIDLastSave="0" documentId="13_ncr:1_{015F7415-500C-479D-83E8-0032CA275D9A}" xr6:coauthVersionLast="47" xr6:coauthVersionMax="47" xr10:uidLastSave="{00000000-0000-0000-0000-000000000000}"/>
  <bookViews>
    <workbookView xWindow="-28920" yWindow="-120" windowWidth="29040" windowHeight="15720" activeTab="1" xr2:uid="{46BD5E3C-FDCA-4E9E-BFA8-A03830210161}"/>
  </bookViews>
  <sheets>
    <sheet name="urbanthreads_q4" sheetId="2" r:id="rId1"/>
    <sheet name="All Analysis" sheetId="3" r:id="rId2"/>
    <sheet name="Trend Indentification" sheetId="4" r:id="rId3"/>
    <sheet name="Segmentation Analysis" sheetId="5" r:id="rId4"/>
    <sheet name="KPI Calculations" sheetId="6" r:id="rId5"/>
    <sheet name="Business Interpretation" sheetId="7" r:id="rId6"/>
    <sheet name="Data Visualization" sheetId="8" r:id="rId7"/>
  </sheets>
  <definedNames>
    <definedName name="ExternalData_1" localSheetId="0" hidden="1">urbanthreads_q4!$A$1:$AI$347</definedName>
  </definedNames>
  <calcPr calcId="191029"/>
  <pivotCaches>
    <pivotCache cacheId="11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5" i="8" l="1"/>
  <c r="F136" i="8"/>
  <c r="F137" i="8"/>
  <c r="F138" i="8"/>
  <c r="F134" i="8"/>
  <c r="E135" i="8"/>
  <c r="E136" i="8"/>
  <c r="E137" i="8"/>
  <c r="E138" i="8"/>
  <c r="E134" i="8"/>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D43" i="8"/>
  <c r="D44" i="8"/>
  <c r="D45" i="8"/>
  <c r="D46" i="8"/>
  <c r="D42" i="8"/>
  <c r="E44" i="8" s="1"/>
  <c r="G2" i="2"/>
  <c r="C9" i="6"/>
  <c r="C8" i="6"/>
  <c r="C7" i="6"/>
  <c r="C6" i="6"/>
  <c r="C4" i="6"/>
  <c r="C215" i="3"/>
  <c r="C214" i="3"/>
  <c r="C213" i="3"/>
  <c r="C212" i="3"/>
  <c r="C210" i="3"/>
  <c r="F174" i="3"/>
  <c r="M174" i="3"/>
  <c r="S174" i="3"/>
  <c r="Y174" i="3"/>
  <c r="F175" i="3"/>
  <c r="M175" i="3"/>
  <c r="S175" i="3"/>
  <c r="Y175" i="3"/>
  <c r="M176" i="3"/>
  <c r="S176" i="3"/>
  <c r="Y176" i="3"/>
  <c r="S177" i="3"/>
  <c r="Y177" i="3"/>
  <c r="S178" i="3"/>
  <c r="Y178"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R2" i="2"/>
  <c r="S2" i="2" s="1"/>
  <c r="R3" i="2"/>
  <c r="S3" i="2" s="1"/>
  <c r="R4" i="2"/>
  <c r="S4" i="2" s="1"/>
  <c r="R5" i="2"/>
  <c r="S5" i="2" s="1"/>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Z2" i="2"/>
  <c r="AA2" i="2" s="1" a="1"/>
  <c r="AA2" i="2" s="1"/>
  <c r="Z3" i="2"/>
  <c r="AA3" i="2" s="1" a="1"/>
  <c r="AA3" i="2" s="1"/>
  <c r="Z4" i="2"/>
  <c r="AA4" i="2" s="1" a="1"/>
  <c r="AA4" i="2" s="1"/>
  <c r="Z5" i="2"/>
  <c r="AA5" i="2" s="1" a="1"/>
  <c r="AA5" i="2" s="1"/>
  <c r="Z6" i="2"/>
  <c r="AA6" i="2" s="1" a="1"/>
  <c r="AA6" i="2" s="1"/>
  <c r="Z7" i="2"/>
  <c r="AA7" i="2" s="1" a="1"/>
  <c r="AA7" i="2" s="1"/>
  <c r="Z8" i="2"/>
  <c r="AA8" i="2" s="1" a="1"/>
  <c r="AA8" i="2" s="1"/>
  <c r="Z9" i="2"/>
  <c r="AA9" i="2" s="1" a="1"/>
  <c r="AA9" i="2" s="1"/>
  <c r="Z10" i="2"/>
  <c r="AA10" i="2" s="1" a="1"/>
  <c r="AA10" i="2" s="1"/>
  <c r="Z11" i="2"/>
  <c r="AA11" i="2" s="1" a="1"/>
  <c r="AA11" i="2" s="1"/>
  <c r="Z12" i="2"/>
  <c r="AA12" i="2" s="1" a="1"/>
  <c r="AA12" i="2" s="1"/>
  <c r="Z13" i="2"/>
  <c r="AA13" i="2" s="1" a="1"/>
  <c r="AA13" i="2" s="1"/>
  <c r="Z14" i="2"/>
  <c r="AA14" i="2" s="1" a="1"/>
  <c r="AA14" i="2" s="1"/>
  <c r="Z15" i="2"/>
  <c r="AA15" i="2" s="1" a="1"/>
  <c r="AA15" i="2" s="1"/>
  <c r="Z16" i="2"/>
  <c r="AA16" i="2" s="1" a="1"/>
  <c r="AA16" i="2" s="1"/>
  <c r="Z17" i="2"/>
  <c r="AA17" i="2" s="1" a="1"/>
  <c r="AA17" i="2" s="1"/>
  <c r="Z18" i="2"/>
  <c r="AA18" i="2" s="1" a="1"/>
  <c r="AA18" i="2" s="1"/>
  <c r="Z19" i="2"/>
  <c r="AA19" i="2" s="1" a="1"/>
  <c r="AA19" i="2" s="1"/>
  <c r="Z20" i="2"/>
  <c r="AA20" i="2" s="1" a="1"/>
  <c r="AA20" i="2" s="1"/>
  <c r="Z21" i="2"/>
  <c r="AA21" i="2" s="1" a="1"/>
  <c r="AA21" i="2" s="1"/>
  <c r="Z22" i="2"/>
  <c r="AA22" i="2" s="1" a="1"/>
  <c r="AA22" i="2" s="1"/>
  <c r="Z23" i="2"/>
  <c r="AA23" i="2" s="1" a="1"/>
  <c r="AA23" i="2" s="1"/>
  <c r="Z24" i="2"/>
  <c r="AA24" i="2" s="1" a="1"/>
  <c r="AA24" i="2" s="1"/>
  <c r="Z25" i="2"/>
  <c r="AA25" i="2" s="1" a="1"/>
  <c r="AA25" i="2" s="1"/>
  <c r="Z26" i="2"/>
  <c r="AA26" i="2" s="1" a="1"/>
  <c r="AA26" i="2" s="1"/>
  <c r="Z27" i="2"/>
  <c r="AA27" i="2" s="1" a="1"/>
  <c r="AA27" i="2" s="1"/>
  <c r="Z28" i="2"/>
  <c r="AA28" i="2" s="1" a="1"/>
  <c r="AA28" i="2" s="1"/>
  <c r="Z29" i="2"/>
  <c r="AA29" i="2" s="1" a="1"/>
  <c r="AA29" i="2" s="1"/>
  <c r="Z30" i="2"/>
  <c r="AA30" i="2" s="1" a="1"/>
  <c r="AA30" i="2" s="1"/>
  <c r="Z31" i="2"/>
  <c r="AA31" i="2" s="1" a="1"/>
  <c r="AA31" i="2" s="1"/>
  <c r="Z32" i="2"/>
  <c r="AA32" i="2" s="1" a="1"/>
  <c r="AA32" i="2" s="1"/>
  <c r="Z33" i="2"/>
  <c r="AA33" i="2" s="1" a="1"/>
  <c r="AA33" i="2" s="1"/>
  <c r="Z34" i="2"/>
  <c r="AA34" i="2" s="1" a="1"/>
  <c r="AA34" i="2" s="1"/>
  <c r="Z35" i="2"/>
  <c r="AA35" i="2" s="1" a="1"/>
  <c r="AA35" i="2" s="1"/>
  <c r="Z36" i="2"/>
  <c r="AA36" i="2" s="1" a="1"/>
  <c r="AA36" i="2" s="1"/>
  <c r="Z37" i="2"/>
  <c r="AA37" i="2" s="1" a="1"/>
  <c r="AA37" i="2" s="1"/>
  <c r="Z38" i="2"/>
  <c r="AA38" i="2" s="1" a="1"/>
  <c r="AA38" i="2" s="1"/>
  <c r="Z39" i="2"/>
  <c r="AA39" i="2" s="1" a="1"/>
  <c r="AA39" i="2" s="1"/>
  <c r="Z40" i="2"/>
  <c r="AA40" i="2" s="1" a="1"/>
  <c r="AA40" i="2" s="1"/>
  <c r="Z41" i="2"/>
  <c r="AA41" i="2" s="1" a="1"/>
  <c r="AA41" i="2" s="1"/>
  <c r="Z42" i="2"/>
  <c r="AA42" i="2" s="1" a="1"/>
  <c r="AA42" i="2" s="1"/>
  <c r="Z43" i="2"/>
  <c r="AA43" i="2" s="1" a="1"/>
  <c r="AA43" i="2" s="1"/>
  <c r="Z44" i="2"/>
  <c r="AA44" i="2" s="1" a="1"/>
  <c r="AA44" i="2" s="1"/>
  <c r="Z45" i="2"/>
  <c r="AA45" i="2" s="1" a="1"/>
  <c r="AA45" i="2" s="1"/>
  <c r="Z46" i="2"/>
  <c r="AA46" i="2" s="1" a="1"/>
  <c r="AA46" i="2" s="1"/>
  <c r="Z47" i="2"/>
  <c r="AA47" i="2" s="1" a="1"/>
  <c r="AA47" i="2" s="1"/>
  <c r="Z48" i="2"/>
  <c r="AA48" i="2" s="1" a="1"/>
  <c r="AA48" i="2" s="1"/>
  <c r="Z49" i="2"/>
  <c r="AA49" i="2" s="1" a="1"/>
  <c r="AA49" i="2" s="1"/>
  <c r="Z50" i="2"/>
  <c r="AA50" i="2" s="1" a="1"/>
  <c r="AA50" i="2" s="1"/>
  <c r="Z51" i="2"/>
  <c r="AA51" i="2" s="1" a="1"/>
  <c r="AA51" i="2" s="1"/>
  <c r="Z52" i="2"/>
  <c r="AA52" i="2" s="1" a="1"/>
  <c r="AA52" i="2" s="1"/>
  <c r="Z53" i="2"/>
  <c r="AA53" i="2" s="1" a="1"/>
  <c r="AA53" i="2" s="1"/>
  <c r="Z54" i="2"/>
  <c r="AA54" i="2" s="1" a="1"/>
  <c r="AA54" i="2" s="1"/>
  <c r="Z55" i="2"/>
  <c r="AA55" i="2" s="1" a="1"/>
  <c r="AA55" i="2" s="1"/>
  <c r="Z56" i="2"/>
  <c r="AA56" i="2" s="1" a="1"/>
  <c r="AA56" i="2" s="1"/>
  <c r="Z57" i="2"/>
  <c r="AA57" i="2" s="1" a="1"/>
  <c r="AA57" i="2" s="1"/>
  <c r="Z58" i="2"/>
  <c r="AA58" i="2" s="1" a="1"/>
  <c r="AA58" i="2" s="1"/>
  <c r="Z59" i="2"/>
  <c r="AA59" i="2" s="1" a="1"/>
  <c r="AA59" i="2" s="1"/>
  <c r="Z60" i="2"/>
  <c r="AA60" i="2" s="1" a="1"/>
  <c r="AA60" i="2" s="1"/>
  <c r="Z61" i="2"/>
  <c r="AA61" i="2" s="1" a="1"/>
  <c r="AA61" i="2" s="1"/>
  <c r="Z62" i="2"/>
  <c r="AA62" i="2" s="1" a="1"/>
  <c r="AA62" i="2" s="1"/>
  <c r="Z63" i="2"/>
  <c r="AA63" i="2" s="1" a="1"/>
  <c r="AA63" i="2" s="1"/>
  <c r="Z64" i="2"/>
  <c r="AA64" i="2" s="1" a="1"/>
  <c r="AA64" i="2" s="1"/>
  <c r="Z65" i="2"/>
  <c r="AA65" i="2" s="1" a="1"/>
  <c r="AA65" i="2" s="1"/>
  <c r="Z66" i="2"/>
  <c r="AA66" i="2" s="1" a="1"/>
  <c r="AA66" i="2" s="1"/>
  <c r="Z67" i="2"/>
  <c r="AA67" i="2" s="1" a="1"/>
  <c r="AA67" i="2" s="1"/>
  <c r="Z68" i="2"/>
  <c r="AA68" i="2" s="1" a="1"/>
  <c r="AA68" i="2" s="1"/>
  <c r="Z69" i="2"/>
  <c r="AA69" i="2" s="1" a="1"/>
  <c r="AA69" i="2" s="1"/>
  <c r="Z70" i="2"/>
  <c r="AA70" i="2" s="1" a="1"/>
  <c r="AA70" i="2" s="1"/>
  <c r="Z71" i="2"/>
  <c r="AA71" i="2" s="1" a="1"/>
  <c r="AA71" i="2" s="1"/>
  <c r="Z72" i="2"/>
  <c r="AA72" i="2" s="1" a="1"/>
  <c r="AA72" i="2" s="1"/>
  <c r="Z73" i="2"/>
  <c r="AA73" i="2" s="1" a="1"/>
  <c r="AA73" i="2" s="1"/>
  <c r="Z74" i="2"/>
  <c r="AA74" i="2" s="1" a="1"/>
  <c r="AA74" i="2" s="1"/>
  <c r="Z75" i="2"/>
  <c r="AA75" i="2" s="1" a="1"/>
  <c r="AA75" i="2" s="1"/>
  <c r="Z76" i="2"/>
  <c r="AA76" i="2" s="1" a="1"/>
  <c r="AA76" i="2" s="1"/>
  <c r="Z77" i="2"/>
  <c r="AA77" i="2" s="1" a="1"/>
  <c r="AA77" i="2" s="1"/>
  <c r="Z78" i="2"/>
  <c r="AA78" i="2" s="1" a="1"/>
  <c r="AA78" i="2" s="1"/>
  <c r="Z79" i="2"/>
  <c r="AA79" i="2" s="1" a="1"/>
  <c r="AA79" i="2" s="1"/>
  <c r="Z80" i="2"/>
  <c r="AA80" i="2" s="1" a="1"/>
  <c r="AA80" i="2" s="1"/>
  <c r="Z81" i="2"/>
  <c r="AA81" i="2" s="1" a="1"/>
  <c r="AA81" i="2" s="1"/>
  <c r="Z82" i="2"/>
  <c r="AA82" i="2" s="1" a="1"/>
  <c r="AA82" i="2" s="1"/>
  <c r="Z83" i="2"/>
  <c r="AA83" i="2" s="1" a="1"/>
  <c r="AA83" i="2" s="1"/>
  <c r="Z84" i="2"/>
  <c r="AA84" i="2" s="1" a="1"/>
  <c r="AA84" i="2" s="1"/>
  <c r="Z85" i="2"/>
  <c r="AA85" i="2" s="1" a="1"/>
  <c r="AA85" i="2" s="1"/>
  <c r="Z86" i="2"/>
  <c r="AA86" i="2" s="1" a="1"/>
  <c r="AA86" i="2" s="1"/>
  <c r="Z87" i="2"/>
  <c r="AA87" i="2" s="1" a="1"/>
  <c r="AA87" i="2" s="1"/>
  <c r="Z88" i="2"/>
  <c r="AA88" i="2" s="1" a="1"/>
  <c r="AA88" i="2" s="1"/>
  <c r="Z89" i="2"/>
  <c r="AA89" i="2" s="1" a="1"/>
  <c r="AA89" i="2" s="1"/>
  <c r="Z90" i="2"/>
  <c r="AA90" i="2" s="1" a="1"/>
  <c r="AA90" i="2" s="1"/>
  <c r="Z91" i="2"/>
  <c r="AA91" i="2" s="1" a="1"/>
  <c r="AA91" i="2" s="1"/>
  <c r="Z92" i="2"/>
  <c r="AA92" i="2" s="1" a="1"/>
  <c r="AA92" i="2" s="1"/>
  <c r="Z93" i="2"/>
  <c r="AA93" i="2" s="1" a="1"/>
  <c r="AA93" i="2" s="1"/>
  <c r="Z94" i="2"/>
  <c r="AA94" i="2" s="1" a="1"/>
  <c r="AA94" i="2" s="1"/>
  <c r="Z95" i="2"/>
  <c r="AA95" i="2" s="1" a="1"/>
  <c r="AA95" i="2" s="1"/>
  <c r="Z96" i="2"/>
  <c r="AA96" i="2" s="1" a="1"/>
  <c r="AA96" i="2" s="1"/>
  <c r="Z97" i="2"/>
  <c r="AA97" i="2" s="1" a="1"/>
  <c r="AA97" i="2" s="1"/>
  <c r="Z98" i="2"/>
  <c r="AA98" i="2" s="1" a="1"/>
  <c r="AA98" i="2" s="1"/>
  <c r="Z99" i="2"/>
  <c r="AA99" i="2" s="1" a="1"/>
  <c r="AA99" i="2" s="1"/>
  <c r="Z100" i="2"/>
  <c r="AA100" i="2" s="1" a="1"/>
  <c r="AA100" i="2" s="1"/>
  <c r="Z101" i="2"/>
  <c r="AA101" i="2" s="1" a="1"/>
  <c r="AA101" i="2" s="1"/>
  <c r="Z102" i="2"/>
  <c r="AA102" i="2" s="1" a="1"/>
  <c r="AA102" i="2" s="1"/>
  <c r="Z103" i="2"/>
  <c r="AA103" i="2" s="1" a="1"/>
  <c r="AA103" i="2" s="1"/>
  <c r="Z104" i="2"/>
  <c r="AA104" i="2" s="1" a="1"/>
  <c r="AA104" i="2" s="1"/>
  <c r="Z105" i="2"/>
  <c r="AA105" i="2" s="1" a="1"/>
  <c r="AA105" i="2" s="1"/>
  <c r="Z106" i="2"/>
  <c r="AA106" i="2" s="1" a="1"/>
  <c r="AA106" i="2" s="1"/>
  <c r="Z107" i="2"/>
  <c r="AA107" i="2" s="1" a="1"/>
  <c r="AA107" i="2" s="1"/>
  <c r="Z108" i="2"/>
  <c r="AA108" i="2" s="1" a="1"/>
  <c r="AA108" i="2" s="1"/>
  <c r="Z109" i="2"/>
  <c r="AA109" i="2" s="1" a="1"/>
  <c r="AA109" i="2" s="1"/>
  <c r="Z110" i="2"/>
  <c r="AA110" i="2" s="1" a="1"/>
  <c r="AA110" i="2" s="1"/>
  <c r="Z111" i="2"/>
  <c r="AA111" i="2" s="1" a="1"/>
  <c r="AA111" i="2" s="1"/>
  <c r="Z112" i="2"/>
  <c r="AA112" i="2" s="1" a="1"/>
  <c r="AA112" i="2" s="1"/>
  <c r="Z113" i="2"/>
  <c r="AA113" i="2" s="1" a="1"/>
  <c r="AA113" i="2" s="1"/>
  <c r="Z114" i="2"/>
  <c r="AA114" i="2" s="1" a="1"/>
  <c r="AA114" i="2" s="1"/>
  <c r="Z115" i="2"/>
  <c r="AA115" i="2" s="1" a="1"/>
  <c r="AA115" i="2" s="1"/>
  <c r="Z116" i="2"/>
  <c r="AA116" i="2" s="1" a="1"/>
  <c r="AA116" i="2" s="1"/>
  <c r="Z117" i="2"/>
  <c r="AA117" i="2" s="1" a="1"/>
  <c r="AA117" i="2" s="1"/>
  <c r="Z118" i="2"/>
  <c r="AA118" i="2" s="1" a="1"/>
  <c r="AA118" i="2" s="1"/>
  <c r="Z119" i="2"/>
  <c r="AA119" i="2" s="1" a="1"/>
  <c r="AA119" i="2" s="1"/>
  <c r="Z120" i="2"/>
  <c r="AA120" i="2" s="1" a="1"/>
  <c r="AA120" i="2" s="1"/>
  <c r="Z121" i="2"/>
  <c r="AA121" i="2" s="1" a="1"/>
  <c r="AA121" i="2" s="1"/>
  <c r="Z122" i="2"/>
  <c r="AA122" i="2" s="1" a="1"/>
  <c r="AA122" i="2" s="1"/>
  <c r="Z123" i="2"/>
  <c r="AA123" i="2" s="1" a="1"/>
  <c r="AA123" i="2" s="1"/>
  <c r="Z124" i="2"/>
  <c r="AA124" i="2" s="1" a="1"/>
  <c r="AA124" i="2" s="1"/>
  <c r="Z125" i="2"/>
  <c r="AA125" i="2" s="1" a="1"/>
  <c r="AA125" i="2" s="1"/>
  <c r="Z126" i="2"/>
  <c r="AA126" i="2" s="1" a="1"/>
  <c r="AA126" i="2" s="1"/>
  <c r="Z127" i="2"/>
  <c r="AA127" i="2" s="1" a="1"/>
  <c r="AA127" i="2" s="1"/>
  <c r="Z128" i="2"/>
  <c r="AA128" i="2" s="1" a="1"/>
  <c r="AA128" i="2" s="1"/>
  <c r="Z129" i="2"/>
  <c r="AA129" i="2" s="1" a="1"/>
  <c r="AA129" i="2" s="1"/>
  <c r="Z130" i="2"/>
  <c r="AA130" i="2" s="1" a="1"/>
  <c r="AA130" i="2" s="1"/>
  <c r="Z131" i="2"/>
  <c r="AA131" i="2" s="1" a="1"/>
  <c r="AA131" i="2" s="1"/>
  <c r="Z132" i="2"/>
  <c r="AA132" i="2" s="1" a="1"/>
  <c r="AA132" i="2" s="1"/>
  <c r="Z133" i="2"/>
  <c r="AA133" i="2" s="1" a="1"/>
  <c r="AA133" i="2" s="1"/>
  <c r="Z134" i="2"/>
  <c r="AA134" i="2" s="1" a="1"/>
  <c r="AA134" i="2" s="1"/>
  <c r="Z135" i="2"/>
  <c r="AA135" i="2" s="1" a="1"/>
  <c r="AA135" i="2" s="1"/>
  <c r="Z136" i="2"/>
  <c r="AA136" i="2" s="1" a="1"/>
  <c r="AA136" i="2" s="1"/>
  <c r="Z137" i="2"/>
  <c r="AA137" i="2" s="1" a="1"/>
  <c r="AA137" i="2" s="1"/>
  <c r="Z138" i="2"/>
  <c r="AA138" i="2" s="1" a="1"/>
  <c r="AA138" i="2" s="1"/>
  <c r="Z139" i="2"/>
  <c r="AA139" i="2" s="1" a="1"/>
  <c r="AA139" i="2" s="1"/>
  <c r="Z140" i="2"/>
  <c r="AA140" i="2" s="1" a="1"/>
  <c r="AA140" i="2" s="1"/>
  <c r="Z141" i="2"/>
  <c r="AA141" i="2" s="1" a="1"/>
  <c r="AA141" i="2" s="1"/>
  <c r="Z142" i="2"/>
  <c r="AA142" i="2" s="1" a="1"/>
  <c r="AA142" i="2" s="1"/>
  <c r="Z143" i="2"/>
  <c r="AA143" i="2" s="1" a="1"/>
  <c r="AA143" i="2" s="1"/>
  <c r="Z144" i="2"/>
  <c r="AA144" i="2" s="1" a="1"/>
  <c r="AA144" i="2" s="1"/>
  <c r="Z145" i="2"/>
  <c r="AA145" i="2" s="1" a="1"/>
  <c r="AA145" i="2" s="1"/>
  <c r="Z146" i="2"/>
  <c r="AA146" i="2" s="1" a="1"/>
  <c r="AA146" i="2" s="1"/>
  <c r="Z147" i="2"/>
  <c r="AA147" i="2" s="1" a="1"/>
  <c r="AA147" i="2" s="1"/>
  <c r="Z148" i="2"/>
  <c r="AA148" i="2" s="1" a="1"/>
  <c r="AA148" i="2" s="1"/>
  <c r="Z149" i="2"/>
  <c r="AA149" i="2" s="1" a="1"/>
  <c r="AA149" i="2" s="1"/>
  <c r="Z150" i="2"/>
  <c r="AA150" i="2" s="1" a="1"/>
  <c r="AA150" i="2" s="1"/>
  <c r="Z151" i="2"/>
  <c r="AA151" i="2" s="1" a="1"/>
  <c r="AA151" i="2" s="1"/>
  <c r="Z152" i="2"/>
  <c r="AA152" i="2" s="1" a="1"/>
  <c r="AA152" i="2" s="1"/>
  <c r="Z153" i="2"/>
  <c r="AA153" i="2" s="1" a="1"/>
  <c r="AA153" i="2" s="1"/>
  <c r="Z154" i="2"/>
  <c r="AA154" i="2" s="1" a="1"/>
  <c r="AA154" i="2" s="1"/>
  <c r="Z155" i="2"/>
  <c r="AA155" i="2" s="1" a="1"/>
  <c r="AA155" i="2" s="1"/>
  <c r="Z156" i="2"/>
  <c r="AA156" i="2" s="1" a="1"/>
  <c r="AA156" i="2" s="1"/>
  <c r="Z157" i="2"/>
  <c r="AA157" i="2" s="1" a="1"/>
  <c r="AA157" i="2" s="1"/>
  <c r="Z158" i="2"/>
  <c r="AA158" i="2" s="1" a="1"/>
  <c r="AA158" i="2" s="1"/>
  <c r="Z159" i="2"/>
  <c r="AA159" i="2" s="1" a="1"/>
  <c r="AA159" i="2" s="1"/>
  <c r="Z160" i="2"/>
  <c r="AA160" i="2" s="1" a="1"/>
  <c r="AA160" i="2" s="1"/>
  <c r="Z161" i="2"/>
  <c r="AA161" i="2" s="1" a="1"/>
  <c r="AA161" i="2" s="1"/>
  <c r="Z162" i="2"/>
  <c r="AA162" i="2" s="1" a="1"/>
  <c r="AA162" i="2" s="1"/>
  <c r="Z163" i="2"/>
  <c r="AA163" i="2" s="1" a="1"/>
  <c r="AA163" i="2" s="1"/>
  <c r="Z164" i="2"/>
  <c r="AA164" i="2" s="1" a="1"/>
  <c r="AA164" i="2" s="1"/>
  <c r="Z165" i="2"/>
  <c r="AA165" i="2" s="1" a="1"/>
  <c r="AA165" i="2" s="1"/>
  <c r="Z166" i="2"/>
  <c r="AA166" i="2" s="1" a="1"/>
  <c r="AA166" i="2" s="1"/>
  <c r="Z167" i="2"/>
  <c r="AA167" i="2" s="1" a="1"/>
  <c r="AA167" i="2" s="1"/>
  <c r="Z168" i="2"/>
  <c r="AA168" i="2" s="1" a="1"/>
  <c r="AA168" i="2" s="1"/>
  <c r="Z169" i="2"/>
  <c r="AA169" i="2" s="1" a="1"/>
  <c r="AA169" i="2" s="1"/>
  <c r="Z170" i="2"/>
  <c r="AA170" i="2" s="1" a="1"/>
  <c r="AA170" i="2" s="1"/>
  <c r="Z171" i="2"/>
  <c r="AA171" i="2" s="1" a="1"/>
  <c r="AA171" i="2" s="1"/>
  <c r="Z172" i="2"/>
  <c r="AA172" i="2" s="1" a="1"/>
  <c r="AA172" i="2" s="1"/>
  <c r="Z173" i="2"/>
  <c r="AA173" i="2" s="1" a="1"/>
  <c r="AA173" i="2" s="1"/>
  <c r="Z174" i="2"/>
  <c r="AA174" i="2" s="1" a="1"/>
  <c r="AA174" i="2" s="1"/>
  <c r="Z175" i="2"/>
  <c r="AA175" i="2" s="1" a="1"/>
  <c r="AA175" i="2" s="1"/>
  <c r="Z176" i="2"/>
  <c r="AA176" i="2" s="1" a="1"/>
  <c r="AA176" i="2" s="1"/>
  <c r="Z177" i="2"/>
  <c r="AA177" i="2" s="1" a="1"/>
  <c r="AA177" i="2" s="1"/>
  <c r="Z178" i="2"/>
  <c r="AA178" i="2" s="1" a="1"/>
  <c r="AA178" i="2" s="1"/>
  <c r="Z179" i="2"/>
  <c r="AA179" i="2" s="1" a="1"/>
  <c r="AA179" i="2" s="1"/>
  <c r="Z180" i="2"/>
  <c r="AA180" i="2" s="1" a="1"/>
  <c r="AA180" i="2" s="1"/>
  <c r="Z181" i="2"/>
  <c r="AA181" i="2" s="1" a="1"/>
  <c r="AA181" i="2" s="1"/>
  <c r="Z182" i="2"/>
  <c r="AA182" i="2" s="1" a="1"/>
  <c r="AA182" i="2" s="1"/>
  <c r="Z183" i="2"/>
  <c r="AA183" i="2" s="1" a="1"/>
  <c r="AA183" i="2" s="1"/>
  <c r="Z184" i="2"/>
  <c r="AA184" i="2" s="1" a="1"/>
  <c r="AA184" i="2" s="1"/>
  <c r="Z185" i="2"/>
  <c r="AA185" i="2" s="1" a="1"/>
  <c r="AA185" i="2" s="1"/>
  <c r="Z186" i="2"/>
  <c r="AA186" i="2" s="1" a="1"/>
  <c r="AA186" i="2" s="1"/>
  <c r="Z187" i="2"/>
  <c r="AA187" i="2" s="1" a="1"/>
  <c r="AA187" i="2" s="1"/>
  <c r="Z188" i="2"/>
  <c r="AA188" i="2" s="1" a="1"/>
  <c r="AA188" i="2" s="1"/>
  <c r="Z189" i="2"/>
  <c r="AA189" i="2" s="1" a="1"/>
  <c r="AA189" i="2" s="1"/>
  <c r="Z190" i="2"/>
  <c r="AA190" i="2" s="1" a="1"/>
  <c r="AA190" i="2" s="1"/>
  <c r="Z191" i="2"/>
  <c r="AA191" i="2" s="1" a="1"/>
  <c r="AA191" i="2" s="1"/>
  <c r="Z192" i="2"/>
  <c r="AA192" i="2" s="1" a="1"/>
  <c r="AA192" i="2" s="1"/>
  <c r="Z193" i="2"/>
  <c r="AA193" i="2" s="1" a="1"/>
  <c r="AA193" i="2" s="1"/>
  <c r="Z194" i="2"/>
  <c r="AA194" i="2" s="1" a="1"/>
  <c r="AA194" i="2" s="1"/>
  <c r="Z195" i="2"/>
  <c r="AA195" i="2" s="1" a="1"/>
  <c r="AA195" i="2" s="1"/>
  <c r="Z196" i="2"/>
  <c r="AA196" i="2" s="1" a="1"/>
  <c r="AA196" i="2" s="1"/>
  <c r="Z197" i="2"/>
  <c r="AA197" i="2" s="1" a="1"/>
  <c r="AA197" i="2" s="1"/>
  <c r="Z198" i="2"/>
  <c r="AA198" i="2" s="1" a="1"/>
  <c r="AA198" i="2" s="1"/>
  <c r="Z199" i="2"/>
  <c r="AA199" i="2" s="1" a="1"/>
  <c r="AA199" i="2" s="1"/>
  <c r="Z200" i="2"/>
  <c r="AA200" i="2" s="1" a="1"/>
  <c r="AA200" i="2" s="1"/>
  <c r="Z201" i="2"/>
  <c r="AA201" i="2" s="1" a="1"/>
  <c r="AA201" i="2" s="1"/>
  <c r="Z202" i="2"/>
  <c r="AA202" i="2" s="1" a="1"/>
  <c r="AA202" i="2" s="1"/>
  <c r="Z203" i="2"/>
  <c r="AA203" i="2" s="1" a="1"/>
  <c r="AA203" i="2" s="1"/>
  <c r="Z204" i="2"/>
  <c r="AA204" i="2" s="1" a="1"/>
  <c r="AA204" i="2" s="1"/>
  <c r="Z205" i="2"/>
  <c r="AA205" i="2" s="1" a="1"/>
  <c r="AA205" i="2" s="1"/>
  <c r="Z206" i="2"/>
  <c r="AA206" i="2" s="1" a="1"/>
  <c r="AA206" i="2" s="1"/>
  <c r="Z207" i="2"/>
  <c r="AA207" i="2" s="1" a="1"/>
  <c r="AA207" i="2" s="1"/>
  <c r="Z208" i="2"/>
  <c r="AA208" i="2" s="1" a="1"/>
  <c r="AA208" i="2" s="1"/>
  <c r="Z209" i="2"/>
  <c r="AA209" i="2" s="1" a="1"/>
  <c r="AA209" i="2" s="1"/>
  <c r="Z210" i="2"/>
  <c r="AA210" i="2" s="1" a="1"/>
  <c r="AA210" i="2" s="1"/>
  <c r="Z211" i="2"/>
  <c r="AA211" i="2" s="1" a="1"/>
  <c r="AA211" i="2" s="1"/>
  <c r="Z212" i="2"/>
  <c r="AA212" i="2" s="1" a="1"/>
  <c r="AA212" i="2" s="1"/>
  <c r="Z213" i="2"/>
  <c r="AA213" i="2" s="1" a="1"/>
  <c r="AA213" i="2" s="1"/>
  <c r="Z214" i="2"/>
  <c r="AA214" i="2" s="1" a="1"/>
  <c r="AA214" i="2" s="1"/>
  <c r="Z215" i="2"/>
  <c r="AA215" i="2" s="1" a="1"/>
  <c r="AA215" i="2" s="1"/>
  <c r="Z216" i="2"/>
  <c r="AA216" i="2" s="1" a="1"/>
  <c r="AA216" i="2" s="1"/>
  <c r="Z217" i="2"/>
  <c r="AA217" i="2" s="1" a="1"/>
  <c r="AA217" i="2" s="1"/>
  <c r="Z218" i="2"/>
  <c r="AA218" i="2" s="1" a="1"/>
  <c r="AA218" i="2" s="1"/>
  <c r="Z219" i="2"/>
  <c r="AA219" i="2" s="1" a="1"/>
  <c r="AA219" i="2" s="1"/>
  <c r="Z220" i="2"/>
  <c r="AA220" i="2" s="1" a="1"/>
  <c r="AA220" i="2" s="1"/>
  <c r="Z221" i="2"/>
  <c r="AA221" i="2" s="1" a="1"/>
  <c r="AA221" i="2" s="1"/>
  <c r="Z222" i="2"/>
  <c r="AA222" i="2" s="1" a="1"/>
  <c r="AA222" i="2" s="1"/>
  <c r="Z223" i="2"/>
  <c r="AA223" i="2" s="1" a="1"/>
  <c r="AA223" i="2" s="1"/>
  <c r="Z224" i="2"/>
  <c r="AA224" i="2" s="1" a="1"/>
  <c r="AA224" i="2" s="1"/>
  <c r="Z225" i="2"/>
  <c r="AA225" i="2" s="1" a="1"/>
  <c r="AA225" i="2" s="1"/>
  <c r="Z226" i="2"/>
  <c r="AA226" i="2" s="1" a="1"/>
  <c r="AA226" i="2" s="1"/>
  <c r="Z227" i="2"/>
  <c r="AA227" i="2" s="1" a="1"/>
  <c r="AA227" i="2" s="1"/>
  <c r="Z228" i="2"/>
  <c r="AA228" i="2" s="1" a="1"/>
  <c r="AA228" i="2" s="1"/>
  <c r="Z229" i="2"/>
  <c r="AA229" i="2" s="1" a="1"/>
  <c r="AA229" i="2" s="1"/>
  <c r="Z230" i="2"/>
  <c r="AA230" i="2" s="1" a="1"/>
  <c r="AA230" i="2" s="1"/>
  <c r="Z231" i="2"/>
  <c r="AA231" i="2" s="1" a="1"/>
  <c r="AA231" i="2" s="1"/>
  <c r="Z232" i="2"/>
  <c r="AA232" i="2" s="1" a="1"/>
  <c r="AA232" i="2" s="1"/>
  <c r="Z233" i="2"/>
  <c r="AA233" i="2" s="1" a="1"/>
  <c r="AA233" i="2" s="1"/>
  <c r="Z234" i="2"/>
  <c r="AA234" i="2" s="1" a="1"/>
  <c r="AA234" i="2" s="1"/>
  <c r="Z235" i="2"/>
  <c r="AA235" i="2" s="1" a="1"/>
  <c r="AA235" i="2" s="1"/>
  <c r="Z236" i="2"/>
  <c r="AA236" i="2" s="1" a="1"/>
  <c r="AA236" i="2" s="1"/>
  <c r="Z237" i="2"/>
  <c r="AA237" i="2" s="1" a="1"/>
  <c r="AA237" i="2" s="1"/>
  <c r="Z238" i="2"/>
  <c r="AA238" i="2" s="1" a="1"/>
  <c r="AA238" i="2" s="1"/>
  <c r="Z239" i="2"/>
  <c r="AA239" i="2" s="1" a="1"/>
  <c r="AA239" i="2" s="1"/>
  <c r="Z240" i="2"/>
  <c r="AA240" i="2" s="1" a="1"/>
  <c r="AA240" i="2" s="1"/>
  <c r="Z241" i="2"/>
  <c r="AA241" i="2" s="1" a="1"/>
  <c r="AA241" i="2" s="1"/>
  <c r="Z242" i="2"/>
  <c r="AA242" i="2" s="1" a="1"/>
  <c r="AA242" i="2" s="1"/>
  <c r="Z243" i="2"/>
  <c r="AA243" i="2" s="1" a="1"/>
  <c r="AA243" i="2" s="1"/>
  <c r="Z244" i="2"/>
  <c r="AA244" i="2" s="1" a="1"/>
  <c r="AA244" i="2" s="1"/>
  <c r="Z245" i="2"/>
  <c r="AA245" i="2" s="1" a="1"/>
  <c r="AA245" i="2" s="1"/>
  <c r="Z246" i="2"/>
  <c r="AA246" i="2" s="1" a="1"/>
  <c r="AA246" i="2" s="1"/>
  <c r="Z247" i="2"/>
  <c r="AA247" i="2" s="1" a="1"/>
  <c r="AA247" i="2" s="1"/>
  <c r="Z248" i="2"/>
  <c r="AA248" i="2" s="1" a="1"/>
  <c r="AA248" i="2" s="1"/>
  <c r="Z249" i="2"/>
  <c r="AA249" i="2" s="1" a="1"/>
  <c r="AA249" i="2" s="1"/>
  <c r="Z250" i="2"/>
  <c r="AA250" i="2" s="1" a="1"/>
  <c r="AA250" i="2" s="1"/>
  <c r="Z251" i="2"/>
  <c r="AA251" i="2" s="1" a="1"/>
  <c r="AA251" i="2" s="1"/>
  <c r="Z252" i="2"/>
  <c r="AA252" i="2" s="1" a="1"/>
  <c r="AA252" i="2" s="1"/>
  <c r="Z253" i="2"/>
  <c r="AA253" i="2" s="1" a="1"/>
  <c r="AA253" i="2" s="1"/>
  <c r="Z254" i="2"/>
  <c r="AA254" i="2" s="1" a="1"/>
  <c r="AA254" i="2" s="1"/>
  <c r="Z255" i="2"/>
  <c r="AA255" i="2" s="1" a="1"/>
  <c r="AA255" i="2" s="1"/>
  <c r="Z256" i="2"/>
  <c r="AA256" i="2" s="1" a="1"/>
  <c r="AA256" i="2" s="1"/>
  <c r="Z257" i="2"/>
  <c r="AA257" i="2" s="1" a="1"/>
  <c r="AA257" i="2" s="1"/>
  <c r="Z258" i="2"/>
  <c r="AA258" i="2" s="1" a="1"/>
  <c r="AA258" i="2" s="1"/>
  <c r="Z259" i="2"/>
  <c r="AA259" i="2" s="1" a="1"/>
  <c r="AA259" i="2" s="1"/>
  <c r="Z260" i="2"/>
  <c r="AA260" i="2" s="1" a="1"/>
  <c r="AA260" i="2" s="1"/>
  <c r="Z261" i="2"/>
  <c r="AA261" i="2" s="1" a="1"/>
  <c r="AA261" i="2" s="1"/>
  <c r="Z262" i="2"/>
  <c r="AA262" i="2" s="1" a="1"/>
  <c r="AA262" i="2" s="1"/>
  <c r="Z263" i="2"/>
  <c r="AA263" i="2" s="1" a="1"/>
  <c r="AA263" i="2" s="1"/>
  <c r="Z264" i="2"/>
  <c r="AA264" i="2" s="1" a="1"/>
  <c r="AA264" i="2" s="1"/>
  <c r="Z265" i="2"/>
  <c r="AA265" i="2" s="1" a="1"/>
  <c r="AA265" i="2" s="1"/>
  <c r="Z266" i="2"/>
  <c r="AA266" i="2" s="1" a="1"/>
  <c r="AA266" i="2" s="1"/>
  <c r="Z267" i="2"/>
  <c r="AA267" i="2" s="1" a="1"/>
  <c r="AA267" i="2" s="1"/>
  <c r="Z268" i="2"/>
  <c r="AA268" i="2" s="1" a="1"/>
  <c r="AA268" i="2" s="1"/>
  <c r="Z269" i="2"/>
  <c r="AA269" i="2" s="1" a="1"/>
  <c r="AA269" i="2" s="1"/>
  <c r="Z270" i="2"/>
  <c r="AA270" i="2" s="1" a="1"/>
  <c r="AA270" i="2" s="1"/>
  <c r="Z271" i="2"/>
  <c r="AA271" i="2" s="1" a="1"/>
  <c r="AA271" i="2" s="1"/>
  <c r="Z272" i="2"/>
  <c r="AA272" i="2" s="1" a="1"/>
  <c r="AA272" i="2" s="1"/>
  <c r="Z273" i="2"/>
  <c r="AA273" i="2" s="1" a="1"/>
  <c r="AA273" i="2" s="1"/>
  <c r="Z274" i="2"/>
  <c r="AA274" i="2" s="1" a="1"/>
  <c r="AA274" i="2" s="1"/>
  <c r="Z275" i="2"/>
  <c r="AA275" i="2" s="1" a="1"/>
  <c r="AA275" i="2" s="1"/>
  <c r="Z276" i="2"/>
  <c r="AA276" i="2" s="1" a="1"/>
  <c r="AA276" i="2" s="1"/>
  <c r="Z277" i="2"/>
  <c r="AA277" i="2" s="1" a="1"/>
  <c r="AA277" i="2" s="1"/>
  <c r="Z278" i="2"/>
  <c r="AA278" i="2" s="1" a="1"/>
  <c r="AA278" i="2" s="1"/>
  <c r="Z279" i="2"/>
  <c r="AA279" i="2" s="1" a="1"/>
  <c r="AA279" i="2" s="1"/>
  <c r="Z280" i="2"/>
  <c r="AA280" i="2" s="1" a="1"/>
  <c r="AA280" i="2" s="1"/>
  <c r="Z281" i="2"/>
  <c r="AA281" i="2" s="1" a="1"/>
  <c r="AA281" i="2" s="1"/>
  <c r="Z282" i="2"/>
  <c r="AA282" i="2" s="1" a="1"/>
  <c r="AA282" i="2" s="1"/>
  <c r="Z283" i="2"/>
  <c r="AA283" i="2" s="1" a="1"/>
  <c r="AA283" i="2" s="1"/>
  <c r="Z284" i="2"/>
  <c r="AA284" i="2" s="1" a="1"/>
  <c r="AA284" i="2" s="1"/>
  <c r="Z285" i="2"/>
  <c r="AA285" i="2" s="1" a="1"/>
  <c r="AA285" i="2" s="1"/>
  <c r="Z286" i="2"/>
  <c r="AA286" i="2" s="1" a="1"/>
  <c r="AA286" i="2" s="1"/>
  <c r="Z287" i="2"/>
  <c r="AA287" i="2" s="1" a="1"/>
  <c r="AA287" i="2" s="1"/>
  <c r="Z288" i="2"/>
  <c r="AA288" i="2" s="1" a="1"/>
  <c r="AA288" i="2" s="1"/>
  <c r="Z289" i="2"/>
  <c r="AA289" i="2" s="1" a="1"/>
  <c r="AA289" i="2" s="1"/>
  <c r="Z290" i="2"/>
  <c r="AA290" i="2" s="1" a="1"/>
  <c r="AA290" i="2" s="1"/>
  <c r="Z291" i="2"/>
  <c r="AA291" i="2" s="1" a="1"/>
  <c r="AA291" i="2" s="1"/>
  <c r="Z292" i="2"/>
  <c r="AA292" i="2" s="1" a="1"/>
  <c r="AA292" i="2" s="1"/>
  <c r="Z293" i="2"/>
  <c r="AA293" i="2" s="1" a="1"/>
  <c r="AA293" i="2" s="1"/>
  <c r="Z294" i="2"/>
  <c r="AA294" i="2" s="1" a="1"/>
  <c r="AA294" i="2" s="1"/>
  <c r="Z295" i="2"/>
  <c r="AA295" i="2" s="1" a="1"/>
  <c r="AA295" i="2" s="1"/>
  <c r="Z296" i="2"/>
  <c r="AA296" i="2" s="1" a="1"/>
  <c r="AA296" i="2" s="1"/>
  <c r="Z297" i="2"/>
  <c r="AA297" i="2" s="1" a="1"/>
  <c r="AA297" i="2" s="1"/>
  <c r="Z298" i="2"/>
  <c r="AA298" i="2" s="1" a="1"/>
  <c r="AA298" i="2" s="1"/>
  <c r="Z299" i="2"/>
  <c r="AA299" i="2" s="1" a="1"/>
  <c r="AA299" i="2" s="1"/>
  <c r="Z300" i="2"/>
  <c r="AA300" i="2" s="1" a="1"/>
  <c r="AA300" i="2" s="1"/>
  <c r="Z301" i="2"/>
  <c r="AA301" i="2" s="1" a="1"/>
  <c r="AA301" i="2" s="1"/>
  <c r="Z302" i="2"/>
  <c r="AA302" i="2" s="1" a="1"/>
  <c r="AA302" i="2" s="1"/>
  <c r="Z303" i="2"/>
  <c r="AA303" i="2" s="1" a="1"/>
  <c r="AA303" i="2" s="1"/>
  <c r="Z304" i="2"/>
  <c r="AA304" i="2" s="1" a="1"/>
  <c r="AA304" i="2" s="1"/>
  <c r="Z305" i="2"/>
  <c r="AA305" i="2" s="1" a="1"/>
  <c r="AA305" i="2" s="1"/>
  <c r="Z306" i="2"/>
  <c r="AA306" i="2" s="1" a="1"/>
  <c r="AA306" i="2" s="1"/>
  <c r="Z307" i="2"/>
  <c r="AA307" i="2" s="1" a="1"/>
  <c r="AA307" i="2" s="1"/>
  <c r="Z308" i="2"/>
  <c r="AA308" i="2" s="1" a="1"/>
  <c r="AA308" i="2" s="1"/>
  <c r="Z309" i="2"/>
  <c r="AA309" i="2" s="1" a="1"/>
  <c r="AA309" i="2" s="1"/>
  <c r="Z310" i="2"/>
  <c r="AA310" i="2" s="1" a="1"/>
  <c r="AA310" i="2" s="1"/>
  <c r="Z311" i="2"/>
  <c r="AA311" i="2" s="1" a="1"/>
  <c r="AA311" i="2" s="1"/>
  <c r="Z312" i="2"/>
  <c r="AA312" i="2" s="1" a="1"/>
  <c r="AA312" i="2" s="1"/>
  <c r="Z313" i="2"/>
  <c r="AA313" i="2" s="1" a="1"/>
  <c r="AA313" i="2" s="1"/>
  <c r="Z314" i="2"/>
  <c r="AA314" i="2" s="1" a="1"/>
  <c r="AA314" i="2" s="1"/>
  <c r="Z315" i="2"/>
  <c r="AA315" i="2" s="1" a="1"/>
  <c r="AA315" i="2" s="1"/>
  <c r="Z316" i="2"/>
  <c r="AA316" i="2" s="1" a="1"/>
  <c r="AA316" i="2" s="1"/>
  <c r="Z317" i="2"/>
  <c r="AA317" i="2" s="1" a="1"/>
  <c r="AA317" i="2" s="1"/>
  <c r="Z318" i="2"/>
  <c r="AA318" i="2" s="1" a="1"/>
  <c r="AA318" i="2" s="1"/>
  <c r="Z319" i="2"/>
  <c r="AA319" i="2" s="1" a="1"/>
  <c r="AA319" i="2" s="1"/>
  <c r="Z320" i="2"/>
  <c r="AA320" i="2" s="1" a="1"/>
  <c r="AA320" i="2" s="1"/>
  <c r="Z321" i="2"/>
  <c r="AA321" i="2" s="1" a="1"/>
  <c r="AA321" i="2" s="1"/>
  <c r="Z322" i="2"/>
  <c r="AA322" i="2" s="1" a="1"/>
  <c r="AA322" i="2" s="1"/>
  <c r="Z323" i="2"/>
  <c r="AA323" i="2" s="1" a="1"/>
  <c r="AA323" i="2" s="1"/>
  <c r="Z324" i="2"/>
  <c r="AA324" i="2" s="1" a="1"/>
  <c r="AA324" i="2" s="1"/>
  <c r="Z325" i="2"/>
  <c r="AA325" i="2" s="1" a="1"/>
  <c r="AA325" i="2" s="1"/>
  <c r="Z326" i="2"/>
  <c r="AA326" i="2" s="1" a="1"/>
  <c r="AA326" i="2" s="1"/>
  <c r="Z327" i="2"/>
  <c r="AA327" i="2" s="1" a="1"/>
  <c r="AA327" i="2" s="1"/>
  <c r="Z328" i="2"/>
  <c r="AA328" i="2" s="1" a="1"/>
  <c r="AA328" i="2" s="1"/>
  <c r="Z329" i="2"/>
  <c r="AA329" i="2" s="1" a="1"/>
  <c r="AA329" i="2" s="1"/>
  <c r="Z330" i="2"/>
  <c r="AA330" i="2" s="1" a="1"/>
  <c r="AA330" i="2" s="1"/>
  <c r="Z331" i="2"/>
  <c r="AA331" i="2" s="1" a="1"/>
  <c r="AA331" i="2" s="1"/>
  <c r="Z332" i="2"/>
  <c r="AA332" i="2" s="1" a="1"/>
  <c r="AA332" i="2" s="1"/>
  <c r="Z333" i="2"/>
  <c r="AA333" i="2" s="1" a="1"/>
  <c r="AA333" i="2" s="1"/>
  <c r="Z334" i="2"/>
  <c r="AA334" i="2" s="1" a="1"/>
  <c r="AA334" i="2" s="1"/>
  <c r="Z335" i="2"/>
  <c r="AA335" i="2" s="1" a="1"/>
  <c r="AA335" i="2" s="1"/>
  <c r="Z336" i="2"/>
  <c r="AA336" i="2" s="1" a="1"/>
  <c r="AA336" i="2" s="1"/>
  <c r="Z337" i="2"/>
  <c r="AA337" i="2" s="1" a="1"/>
  <c r="AA337" i="2" s="1"/>
  <c r="Z338" i="2"/>
  <c r="AA338" i="2" s="1" a="1"/>
  <c r="AA338" i="2" s="1"/>
  <c r="Z339" i="2"/>
  <c r="AA339" i="2" s="1" a="1"/>
  <c r="AA339" i="2" s="1"/>
  <c r="Z340" i="2"/>
  <c r="AA340" i="2" s="1" a="1"/>
  <c r="AA340" i="2" s="1"/>
  <c r="Z341" i="2"/>
  <c r="AA341" i="2" s="1" a="1"/>
  <c r="AA341" i="2" s="1"/>
  <c r="Z342" i="2"/>
  <c r="AA342" i="2" s="1" a="1"/>
  <c r="AA342" i="2" s="1"/>
  <c r="Z343" i="2"/>
  <c r="AA343" i="2" s="1" a="1"/>
  <c r="AA343" i="2" s="1"/>
  <c r="Z344" i="2"/>
  <c r="AA344" i="2" s="1" a="1"/>
  <c r="AA344" i="2" s="1"/>
  <c r="Z345" i="2"/>
  <c r="AA345" i="2" s="1" a="1"/>
  <c r="AA345" i="2" s="1"/>
  <c r="Z346" i="2"/>
  <c r="AA346" i="2" s="1" a="1"/>
  <c r="AA346" i="2" s="1"/>
  <c r="Z347" i="2"/>
  <c r="AA347" i="2" s="1" a="1"/>
  <c r="AA347" i="2" s="1"/>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G8" i="3"/>
  <c r="G9" i="3"/>
  <c r="B6" i="3"/>
  <c r="B3" i="3"/>
  <c r="E43" i="8" l="1"/>
  <c r="E46" i="8"/>
  <c r="D49" i="8"/>
  <c r="E42" i="8"/>
  <c r="E45" i="8"/>
  <c r="C5" i="6"/>
  <c r="C211" i="3"/>
  <c r="B7" i="3"/>
  <c r="B4" i="3" l="1"/>
  <c r="B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84E147-6297-4027-A9B8-9737F9FCC808}" keepAlive="1" name="Query - Data Analyst Intern_Nikhil_Kumar_February2026" description="Connection to the 'Data Analyst Intern_Nikhil_Kumar_February2026' query in the workbook." type="5" refreshedVersion="8" background="1" saveData="1">
    <dbPr connection="Provider=Microsoft.Mashup.OleDb.1;Data Source=$Workbook$;Location=&quot;Data Analyst Intern_Nikhil_Kumar_February2026&quot;;Extended Properties=&quot;&quot;" command="SELECT * FROM [Data Analyst Intern_Nikhil_Kumar_February202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<sst xmlns="http://schemas.openxmlformats.org/spreadsheetml/2006/main" count="5940" uniqueCount="1629">
  <si>
    <t>Order ID</t>
  </si>
  <si>
    <t>Order Date</t>
  </si>
  <si>
    <t>Customer ID</t>
  </si>
  <si>
    <t>Type</t>
  </si>
  <si>
    <t>SKU</t>
  </si>
  <si>
    <t>Category</t>
  </si>
  <si>
    <t>Product Name</t>
  </si>
  <si>
    <t>Unit Price</t>
  </si>
  <si>
    <t>Qty</t>
  </si>
  <si>
    <t>Total</t>
  </si>
  <si>
    <t>Discount Code</t>
  </si>
  <si>
    <t>Discount(%)</t>
  </si>
  <si>
    <t>Payment</t>
  </si>
  <si>
    <t>Source</t>
  </si>
  <si>
    <t>City</t>
  </si>
  <si>
    <t>State</t>
  </si>
  <si>
    <t>Warehouse</t>
  </si>
  <si>
    <t>Del Date</t>
  </si>
  <si>
    <t>Status</t>
  </si>
  <si>
    <t>Return?</t>
  </si>
  <si>
    <t>Reason</t>
  </si>
  <si>
    <t>Ret Rec</t>
  </si>
  <si>
    <t>Refund</t>
  </si>
  <si>
    <t>UT-100001</t>
  </si>
  <si>
    <t>CUST_10001</t>
  </si>
  <si>
    <t>New</t>
  </si>
  <si>
    <t>TOP-CAS-M</t>
  </si>
  <si>
    <t>Tops</t>
  </si>
  <si>
    <t>Classic Cotton Tee</t>
  </si>
  <si>
    <t/>
  </si>
  <si>
    <t>UPI</t>
  </si>
  <si>
    <t>Website</t>
  </si>
  <si>
    <t>Mumbai</t>
  </si>
  <si>
    <t>Maharashtra</t>
  </si>
  <si>
    <t>Delivered</t>
  </si>
  <si>
    <t>No</t>
  </si>
  <si>
    <t>Not Applicable</t>
  </si>
  <si>
    <t>UT-100002</t>
  </si>
  <si>
    <t>CUST_10002</t>
  </si>
  <si>
    <t>Returning</t>
  </si>
  <si>
    <t>DRS-FRM-S</t>
  </si>
  <si>
    <t>Dresses</t>
  </si>
  <si>
    <t>Floral Midi Dress</t>
  </si>
  <si>
    <t>DIWALI20</t>
  </si>
  <si>
    <t>Credit Card</t>
  </si>
  <si>
    <t>Mobile App</t>
  </si>
  <si>
    <t>Delhi</t>
  </si>
  <si>
    <t>Yes</t>
  </si>
  <si>
    <t>Size Issue</t>
  </si>
  <si>
    <t>Processed</t>
  </si>
  <si>
    <t>UT-100003</t>
  </si>
  <si>
    <t>CUST_10003</t>
  </si>
  <si>
    <t>new</t>
  </si>
  <si>
    <t>BOT-JNS-L</t>
  </si>
  <si>
    <t>Bottoms</t>
  </si>
  <si>
    <t>Slim Fit Jeans</t>
  </si>
  <si>
    <t>COD</t>
  </si>
  <si>
    <t>Bangalore</t>
  </si>
  <si>
    <t>Karnataka</t>
  </si>
  <si>
    <t>UT-100004</t>
  </si>
  <si>
    <t>CUST_10004</t>
  </si>
  <si>
    <t>OUT-JKT-XL</t>
  </si>
  <si>
    <t>Outerwear</t>
  </si>
  <si>
    <t>Denim Jacket</t>
  </si>
  <si>
    <t>FIRST15</t>
  </si>
  <si>
    <t>Debit Card</t>
  </si>
  <si>
    <t>Instagram Shop</t>
  </si>
  <si>
    <t>Chennai</t>
  </si>
  <si>
    <t>Tamil Nadu</t>
  </si>
  <si>
    <t>Quality Defect</t>
  </si>
  <si>
    <t>UT-100005</t>
  </si>
  <si>
    <t>ACC-SCF-OS</t>
  </si>
  <si>
    <t>Accessories</t>
  </si>
  <si>
    <t>Silk Scarf</t>
  </si>
  <si>
    <t>UT-100006</t>
  </si>
  <si>
    <t>CUST_10005</t>
  </si>
  <si>
    <t>TOP-FRM-S</t>
  </si>
  <si>
    <t>Printed Blouse</t>
  </si>
  <si>
    <t>Hyderabad</t>
  </si>
  <si>
    <t>Telangana</t>
  </si>
  <si>
    <t>Changed Mind</t>
  </si>
  <si>
    <t>UT-100007</t>
  </si>
  <si>
    <t>CUST_10006</t>
  </si>
  <si>
    <t>DRS-CAS-M</t>
  </si>
  <si>
    <t>A-Line Dress</t>
  </si>
  <si>
    <t>Pune</t>
  </si>
  <si>
    <t>Cancelled</t>
  </si>
  <si>
    <t>UT-100008</t>
  </si>
  <si>
    <t>CUST_10007</t>
  </si>
  <si>
    <t>BOT-TRS-L</t>
  </si>
  <si>
    <t>Formal Trousers</t>
  </si>
  <si>
    <t>Kolkata</t>
  </si>
  <si>
    <t>West Bengal</t>
  </si>
  <si>
    <t>UT-100009</t>
  </si>
  <si>
    <t>CUST_10008</t>
  </si>
  <si>
    <t>TOP-CAS-XL</t>
  </si>
  <si>
    <t>Oversized Tee</t>
  </si>
  <si>
    <t>Ahmedabad</t>
  </si>
  <si>
    <t>Gujarat</t>
  </si>
  <si>
    <t>UT-100010</t>
  </si>
  <si>
    <t>CUST_10009</t>
  </si>
  <si>
    <t>OUT-BLZ-M</t>
  </si>
  <si>
    <t>Casual Blazer</t>
  </si>
  <si>
    <t>Jaipur</t>
  </si>
  <si>
    <t>Rajasthan</t>
  </si>
  <si>
    <t>Wrong Item</t>
  </si>
  <si>
    <t>Pending</t>
  </si>
  <si>
    <t>UT-100011</t>
  </si>
  <si>
    <t>CUST_10010</t>
  </si>
  <si>
    <t>ACC-BAG-OS</t>
  </si>
  <si>
    <t>Tote Bag</t>
  </si>
  <si>
    <t>FLAT10</t>
  </si>
  <si>
    <t>Wallet</t>
  </si>
  <si>
    <t>Lucknow</t>
  </si>
  <si>
    <t>Uttar Pradesh</t>
  </si>
  <si>
    <t>UT-100012</t>
  </si>
  <si>
    <t>CUST_10011</t>
  </si>
  <si>
    <t>DRS-PRT-S</t>
  </si>
  <si>
    <t>Party Dress</t>
  </si>
  <si>
    <t>Chandigarh</t>
  </si>
  <si>
    <t>Punjab</t>
  </si>
  <si>
    <t>RTO</t>
  </si>
  <si>
    <t>UT-100013</t>
  </si>
  <si>
    <t>CUST_10012</t>
  </si>
  <si>
    <t>TOP-SLK-M</t>
  </si>
  <si>
    <t>Silk Blouse</t>
  </si>
  <si>
    <t>UT-100014</t>
  </si>
  <si>
    <t>CUST_10013</t>
  </si>
  <si>
    <t>BOT-SKT-S</t>
  </si>
  <si>
    <t>Pleated Skirt</t>
  </si>
  <si>
    <t>UT-100015</t>
  </si>
  <si>
    <t>CUST_10014</t>
  </si>
  <si>
    <t>OUT-CRD-L</t>
  </si>
  <si>
    <t>Knit Cardigan</t>
  </si>
  <si>
    <t>UT-100016</t>
  </si>
  <si>
    <t>CUST_10015</t>
  </si>
  <si>
    <t>ACC-JWL-OS</t>
  </si>
  <si>
    <t>Statement Earrings</t>
  </si>
  <si>
    <t>Noida</t>
  </si>
  <si>
    <t>Damaged in Transit</t>
  </si>
  <si>
    <t>UT-100017</t>
  </si>
  <si>
    <t>CUST_10016</t>
  </si>
  <si>
    <t>TOP-CRP-XS</t>
  </si>
  <si>
    <t>Crop Top</t>
  </si>
  <si>
    <t>Gurgaon</t>
  </si>
  <si>
    <t>Haryana</t>
  </si>
  <si>
    <t>UT-100018</t>
  </si>
  <si>
    <t>CUST_10017</t>
  </si>
  <si>
    <t>DRS-MAX-M</t>
  </si>
  <si>
    <t>Maxi Dress</t>
  </si>
  <si>
    <t>Indore</t>
  </si>
  <si>
    <t>Madhya Pradesh</t>
  </si>
  <si>
    <t>UT-100019</t>
  </si>
  <si>
    <t>CUST_10018</t>
  </si>
  <si>
    <t>BOT-JGR-M</t>
  </si>
  <si>
    <t>Joggers</t>
  </si>
  <si>
    <t>Surat</t>
  </si>
  <si>
    <t>UT-100020</t>
  </si>
  <si>
    <t>CUST_10019</t>
  </si>
  <si>
    <t>OUT-VST-S</t>
  </si>
  <si>
    <t>Puffer Vest</t>
  </si>
  <si>
    <t>Patna</t>
  </si>
  <si>
    <t>Bihar</t>
  </si>
  <si>
    <t>UT-100021</t>
  </si>
  <si>
    <t>CUST_10020</t>
  </si>
  <si>
    <t>TOP-TUN-L</t>
  </si>
  <si>
    <t>Tunic Top</t>
  </si>
  <si>
    <t>Bhopal</t>
  </si>
  <si>
    <t>UT-100022</t>
  </si>
  <si>
    <t>CUST_10021</t>
  </si>
  <si>
    <t>DRS-SHT-XS</t>
  </si>
  <si>
    <t>Shirt Dress</t>
  </si>
  <si>
    <t>Nagpur</t>
  </si>
  <si>
    <t>UT-100023</t>
  </si>
  <si>
    <t>CUST_10022</t>
  </si>
  <si>
    <t>ACC-BLT-M</t>
  </si>
  <si>
    <t>Leather Belt</t>
  </si>
  <si>
    <t>Coimbatore</t>
  </si>
  <si>
    <t>UT-100024</t>
  </si>
  <si>
    <t>CUST_10023</t>
  </si>
  <si>
    <t>BOT-SHT-M</t>
  </si>
  <si>
    <t>Cotton Shorts</t>
  </si>
  <si>
    <t>Kochi</t>
  </si>
  <si>
    <t>Kerala</t>
  </si>
  <si>
    <t>UT-100025</t>
  </si>
  <si>
    <t>CUST_10024</t>
  </si>
  <si>
    <t>TOP-PLO-L</t>
  </si>
  <si>
    <t>Polo Shirt</t>
  </si>
  <si>
    <t>Vizag</t>
  </si>
  <si>
    <t>Andhra Pradesh</t>
  </si>
  <si>
    <t>UT-100026</t>
  </si>
  <si>
    <t>CUST_10025</t>
  </si>
  <si>
    <t>DRS-WRK-M</t>
  </si>
  <si>
    <t>Work Dress</t>
  </si>
  <si>
    <t>Thiruvananthapuram</t>
  </si>
  <si>
    <t>UT-100027</t>
  </si>
  <si>
    <t>CUST_10026</t>
  </si>
  <si>
    <t>OUT-TRN-L</t>
  </si>
  <si>
    <t>Trench Coat</t>
  </si>
  <si>
    <t>Mysore</t>
  </si>
  <si>
    <t>UT-100028</t>
  </si>
  <si>
    <t>CUST_10027</t>
  </si>
  <si>
    <t>ACC-HAT-OS</t>
  </si>
  <si>
    <t>Fedora Hat</t>
  </si>
  <si>
    <t>Vadodara</t>
  </si>
  <si>
    <t>UT-100029</t>
  </si>
  <si>
    <t>CUST_10028</t>
  </si>
  <si>
    <t>TOP-DNM-M</t>
  </si>
  <si>
    <t>Denim Shirt</t>
  </si>
  <si>
    <t>Rajkot</t>
  </si>
  <si>
    <t>UT-100030</t>
  </si>
  <si>
    <t>CUST_10029</t>
  </si>
  <si>
    <t>BOT-CRG-L</t>
  </si>
  <si>
    <t>Cargo Pants</t>
  </si>
  <si>
    <t>Kanpur</t>
  </si>
  <si>
    <t>UT-100031</t>
  </si>
  <si>
    <t>CUST_10030</t>
  </si>
  <si>
    <t>DRS-EVE-S</t>
  </si>
  <si>
    <t>Evening Gown</t>
  </si>
  <si>
    <t>UT-100032</t>
  </si>
  <si>
    <t>CUST_10031</t>
  </si>
  <si>
    <t>TOP-BAS-M</t>
  </si>
  <si>
    <t>Basic Tank</t>
  </si>
  <si>
    <t>UT-100033</t>
  </si>
  <si>
    <t>CUST_10032</t>
  </si>
  <si>
    <t>OUT-WOL-L</t>
  </si>
  <si>
    <t>Wool Coat</t>
  </si>
  <si>
    <t>UT-100034</t>
  </si>
  <si>
    <t>CUST_10033</t>
  </si>
  <si>
    <t>ACC-WCH-OS</t>
  </si>
  <si>
    <t>Fashion Watch</t>
  </si>
  <si>
    <t>UT-100035</t>
  </si>
  <si>
    <t>CUST_10034</t>
  </si>
  <si>
    <t>BOT-DNM-S</t>
  </si>
  <si>
    <t>Denim Shorts</t>
  </si>
  <si>
    <t>UT-100036</t>
  </si>
  <si>
    <t>CUST_10035</t>
  </si>
  <si>
    <t>DRS-SUN-M</t>
  </si>
  <si>
    <t>Sundress</t>
  </si>
  <si>
    <t>UT-100037</t>
  </si>
  <si>
    <t>CUST_10036</t>
  </si>
  <si>
    <t>TOP-RFL-S</t>
  </si>
  <si>
    <t>Ruffle Top</t>
  </si>
  <si>
    <t>UT-100038</t>
  </si>
  <si>
    <t>CUST_10037</t>
  </si>
  <si>
    <t>OUT-LTH-M</t>
  </si>
  <si>
    <t>Leather Jacket</t>
  </si>
  <si>
    <t>UT-100039</t>
  </si>
  <si>
    <t>CUST_10038</t>
  </si>
  <si>
    <t>ACC-SNG-OS</t>
  </si>
  <si>
    <t>Sunglasses</t>
  </si>
  <si>
    <t>UT-100040</t>
  </si>
  <si>
    <t>CUST_10039</t>
  </si>
  <si>
    <t>BOT-PLZ-L</t>
  </si>
  <si>
    <t>Palazzo Pants</t>
  </si>
  <si>
    <t>UT-100041</t>
  </si>
  <si>
    <t>CUST_10040</t>
  </si>
  <si>
    <t>DRS-BDC-S</t>
  </si>
  <si>
    <t>Bodycon Dress</t>
  </si>
  <si>
    <t>UT-100042</t>
  </si>
  <si>
    <t>CUST_10041</t>
  </si>
  <si>
    <t>TOP-OFF-M</t>
  </si>
  <si>
    <t>Off-Shoulder Top</t>
  </si>
  <si>
    <t>UT-100043</t>
  </si>
  <si>
    <t>CUST_10042</t>
  </si>
  <si>
    <t>OUT-DNM-L</t>
  </si>
  <si>
    <t>Denim Vest</t>
  </si>
  <si>
    <t>UT-100044</t>
  </si>
  <si>
    <t>CUST_10043</t>
  </si>
  <si>
    <t>ACC-HBG-OS</t>
  </si>
  <si>
    <t>Hobo Bag</t>
  </si>
  <si>
    <t>UT-100045</t>
  </si>
  <si>
    <t>CUST_10044</t>
  </si>
  <si>
    <t>BOT-CHP-M</t>
  </si>
  <si>
    <t>Chino Pants</t>
  </si>
  <si>
    <t>UT-100046</t>
  </si>
  <si>
    <t>CUST_10045</t>
  </si>
  <si>
    <t>DRS-WRP-M</t>
  </si>
  <si>
    <t>Wrap Dress</t>
  </si>
  <si>
    <t>UT-100047</t>
  </si>
  <si>
    <t>CUST_10046</t>
  </si>
  <si>
    <t>TOP-STR-S</t>
  </si>
  <si>
    <t>Striped Tee</t>
  </si>
  <si>
    <t>UT-100048</t>
  </si>
  <si>
    <t>CUST_10047</t>
  </si>
  <si>
    <t>OUT-PRK-XL</t>
  </si>
  <si>
    <t>Parka Jacket</t>
  </si>
  <si>
    <t>UT-100049</t>
  </si>
  <si>
    <t>CUST_10048</t>
  </si>
  <si>
    <t>ACC-EAR-OS</t>
  </si>
  <si>
    <t>Hoop Earrings</t>
  </si>
  <si>
    <t>UT-100050</t>
  </si>
  <si>
    <t>CUST_10049</t>
  </si>
  <si>
    <t>BOT-LGN-S</t>
  </si>
  <si>
    <t>Leggings</t>
  </si>
  <si>
    <t>UT-100051</t>
  </si>
  <si>
    <t>CUST_10050</t>
  </si>
  <si>
    <t>DRS-CTN-L</t>
  </si>
  <si>
    <t>Cotton Dress</t>
  </si>
  <si>
    <t>UT-100052</t>
  </si>
  <si>
    <t>CUST_10051</t>
  </si>
  <si>
    <t>TOP-LCE-M</t>
  </si>
  <si>
    <t>Lace Top</t>
  </si>
  <si>
    <t>UT-100053</t>
  </si>
  <si>
    <t>CUST_10052</t>
  </si>
  <si>
    <t>OUT-BOM-M</t>
  </si>
  <si>
    <t>Bomber Jacket</t>
  </si>
  <si>
    <t>UT-100054</t>
  </si>
  <si>
    <t>CUST_10053</t>
  </si>
  <si>
    <t>ACC-NCK-OS</t>
  </si>
  <si>
    <t>Pendant Necklace</t>
  </si>
  <si>
    <t>UT-100055</t>
  </si>
  <si>
    <t>CUST_10054</t>
  </si>
  <si>
    <t>BOT-WID-M</t>
  </si>
  <si>
    <t>Wide Leg Pants</t>
  </si>
  <si>
    <t>UT-100056</t>
  </si>
  <si>
    <t>CUST_10055</t>
  </si>
  <si>
    <t>DRS-TIR-S</t>
  </si>
  <si>
    <t>Tiered Dress</t>
  </si>
  <si>
    <t>UT-100057</t>
  </si>
  <si>
    <t>CUST_10056</t>
  </si>
  <si>
    <t>TOP-PEP-M</t>
  </si>
  <si>
    <t>Peplum Top</t>
  </si>
  <si>
    <t>UT-100058</t>
  </si>
  <si>
    <t>CUST_10057</t>
  </si>
  <si>
    <t>OUT-QTD-L</t>
  </si>
  <si>
    <t>Quilted Jacket</t>
  </si>
  <si>
    <t>UT-100059</t>
  </si>
  <si>
    <t>CUST_10058</t>
  </si>
  <si>
    <t>ACC-BRC-OS</t>
  </si>
  <si>
    <t>Charm Bracelet</t>
  </si>
  <si>
    <t>UT-100060</t>
  </si>
  <si>
    <t>CUST_10059</t>
  </si>
  <si>
    <t>BOT-CRP-S</t>
  </si>
  <si>
    <t>Cropped Pants</t>
  </si>
  <si>
    <t>UT-100061</t>
  </si>
  <si>
    <t>CUST_10060</t>
  </si>
  <si>
    <t>DRS-SLP-M</t>
  </si>
  <si>
    <t>Slip Dress</t>
  </si>
  <si>
    <t>UT-100062</t>
  </si>
  <si>
    <t>CUST_10061</t>
  </si>
  <si>
    <t>TOP-HLT-L</t>
  </si>
  <si>
    <t>Halter Top</t>
  </si>
  <si>
    <t>UT-100063</t>
  </si>
  <si>
    <t>CUST_10062</t>
  </si>
  <si>
    <t>OUT-FLC-M</t>
  </si>
  <si>
    <t>Fleece Jacket</t>
  </si>
  <si>
    <t>UT-100064</t>
  </si>
  <si>
    <t>CUST_10063</t>
  </si>
  <si>
    <t>ACC-RNG-OS</t>
  </si>
  <si>
    <t>Cocktail Ring</t>
  </si>
  <si>
    <t>UT-100065</t>
  </si>
  <si>
    <t>CUST_10064</t>
  </si>
  <si>
    <t>BOT-SKN-M</t>
  </si>
  <si>
    <t>Skinny Jeans</t>
  </si>
  <si>
    <t>UT-100066</t>
  </si>
  <si>
    <t>CUST_10065</t>
  </si>
  <si>
    <t>DRS-KNT-S</t>
  </si>
  <si>
    <t>Knit Dress</t>
  </si>
  <si>
    <t>UT-100067</t>
  </si>
  <si>
    <t>CUST_10066</t>
  </si>
  <si>
    <t>TOP-EMB-M</t>
  </si>
  <si>
    <t>Embroidered Top</t>
  </si>
  <si>
    <t>UT-100068</t>
  </si>
  <si>
    <t>CUST_10067</t>
  </si>
  <si>
    <t>OUT-SHR-L</t>
  </si>
  <si>
    <t>Shrug</t>
  </si>
  <si>
    <t>UT-100069</t>
  </si>
  <si>
    <t>CUST_10068</t>
  </si>
  <si>
    <t>ACC-CLT-OS</t>
  </si>
  <si>
    <t>Clutch Bag</t>
  </si>
  <si>
    <t>UT-100070</t>
  </si>
  <si>
    <t>CUST_10069</t>
  </si>
  <si>
    <t>BOT-FLR-S</t>
  </si>
  <si>
    <t>Flared Jeans</t>
  </si>
  <si>
    <t>UT-100071</t>
  </si>
  <si>
    <t>CUST_10070</t>
  </si>
  <si>
    <t>DRS-PIN-M</t>
  </si>
  <si>
    <t>Pinafore Dress</t>
  </si>
  <si>
    <t>UT-100072</t>
  </si>
  <si>
    <t>CUST_10071</t>
  </si>
  <si>
    <t>TOP-CRW-L</t>
  </si>
  <si>
    <t>Crew Neck Tee</t>
  </si>
  <si>
    <t>UT-100073</t>
  </si>
  <si>
    <t>CUST_10072</t>
  </si>
  <si>
    <t>OUT-CDG-M</t>
  </si>
  <si>
    <t>Cardigan</t>
  </si>
  <si>
    <t>UT-100074</t>
  </si>
  <si>
    <t>CUST_10073</t>
  </si>
  <si>
    <t>ACC-SCR-OS</t>
  </si>
  <si>
    <t>Hair Scrunchie</t>
  </si>
  <si>
    <t>UT-100075</t>
  </si>
  <si>
    <t>CUST_10074</t>
  </si>
  <si>
    <t>BOT-PPR-M</t>
  </si>
  <si>
    <t>Paper Bag Pants</t>
  </si>
  <si>
    <t>UT-100076</t>
  </si>
  <si>
    <t>CUST_10075</t>
  </si>
  <si>
    <t>DRS-SMK-S</t>
  </si>
  <si>
    <t>Smocked Dress</t>
  </si>
  <si>
    <t>UT-100077</t>
  </si>
  <si>
    <t>CUST_10076</t>
  </si>
  <si>
    <t>TOP-BTN-M</t>
  </si>
  <si>
    <t>Button-Down Shirt</t>
  </si>
  <si>
    <t>UT-100078</t>
  </si>
  <si>
    <t>CUST_10077</t>
  </si>
  <si>
    <t>OUT-VLV-L</t>
  </si>
  <si>
    <t>Velvet Blazer</t>
  </si>
  <si>
    <t>UT-100079</t>
  </si>
  <si>
    <t>CUST_10078</t>
  </si>
  <si>
    <t>ACC-TOT-OS</t>
  </si>
  <si>
    <t>Canvas Tote</t>
  </si>
  <si>
    <t>UT-100080</t>
  </si>
  <si>
    <t>CUST_10079</t>
  </si>
  <si>
    <t>BOT-CRG-S</t>
  </si>
  <si>
    <t>Cargo Shorts</t>
  </si>
  <si>
    <t>UT-100081</t>
  </si>
  <si>
    <t>CUST_10080</t>
  </si>
  <si>
    <t>DRS-BTR-M</t>
  </si>
  <si>
    <t>Butterfly Dress</t>
  </si>
  <si>
    <t>UT-100082</t>
  </si>
  <si>
    <t>CUST_10081</t>
  </si>
  <si>
    <t>TOP-VNK-L</t>
  </si>
  <si>
    <t>V-Neck Tee</t>
  </si>
  <si>
    <t>UT-100083</t>
  </si>
  <si>
    <t>CUST_10082</t>
  </si>
  <si>
    <t>OUT-TRN-M</t>
  </si>
  <si>
    <t>UT-100084</t>
  </si>
  <si>
    <t>CUST_10083</t>
  </si>
  <si>
    <t>ACC-BDY-OS</t>
  </si>
  <si>
    <t>Body Chain</t>
  </si>
  <si>
    <t>UT-100085</t>
  </si>
  <si>
    <t>CUST_10084</t>
  </si>
  <si>
    <t>BOT-JGR-L</t>
  </si>
  <si>
    <t>Jogger Pants</t>
  </si>
  <si>
    <t>UT-100086</t>
  </si>
  <si>
    <t>CUST_10085</t>
  </si>
  <si>
    <t>DRS-RFL-S</t>
  </si>
  <si>
    <t>Ruffle Dress</t>
  </si>
  <si>
    <t>UT-100087</t>
  </si>
  <si>
    <t>CUST_10086</t>
  </si>
  <si>
    <t>TOP-SQR-M</t>
  </si>
  <si>
    <t>Square Neck Top</t>
  </si>
  <si>
    <t>UT-100088</t>
  </si>
  <si>
    <t>CUST_10087</t>
  </si>
  <si>
    <t>OUT-WND-L</t>
  </si>
  <si>
    <t>Windbreaker</t>
  </si>
  <si>
    <t>UT-100089</t>
  </si>
  <si>
    <t>CUST_10088</t>
  </si>
  <si>
    <t>ACC-ANK-OS</t>
  </si>
  <si>
    <t>Anklet</t>
  </si>
  <si>
    <t>UT-100090</t>
  </si>
  <si>
    <t>CUST_10089</t>
  </si>
  <si>
    <t>BOT-TRS-M</t>
  </si>
  <si>
    <t>Tailored Trousers</t>
  </si>
  <si>
    <t>UT-100091</t>
  </si>
  <si>
    <t>CUST_10090</t>
  </si>
  <si>
    <t>DRS-LST-M</t>
  </si>
  <si>
    <t>Lace Trim Dress</t>
  </si>
  <si>
    <t>UT-100092</t>
  </si>
  <si>
    <t>CUST_10091</t>
  </si>
  <si>
    <t>TOP-TIE-S</t>
  </si>
  <si>
    <t>Tie-Front Top</t>
  </si>
  <si>
    <t>UT-100093</t>
  </si>
  <si>
    <t>CUST_10092</t>
  </si>
  <si>
    <t>OUT-PUF-M</t>
  </si>
  <si>
    <t>Puffer Jacket</t>
  </si>
  <si>
    <t>UT-100094</t>
  </si>
  <si>
    <t>CUST_10093</t>
  </si>
  <si>
    <t>ACC-HDR-OS</t>
  </si>
  <si>
    <t>Hairband</t>
  </si>
  <si>
    <t>UT-100095</t>
  </si>
  <si>
    <t>CUST_10094</t>
  </si>
  <si>
    <t>BOT-PLT-L</t>
  </si>
  <si>
    <t>Pleated Trousers</t>
  </si>
  <si>
    <t>UT-100096</t>
  </si>
  <si>
    <t>CUST_10095</t>
  </si>
  <si>
    <t>DRS-SHR-S</t>
  </si>
  <si>
    <t>Shirtdress</t>
  </si>
  <si>
    <t>UT-100097</t>
  </si>
  <si>
    <t>CUST_10096</t>
  </si>
  <si>
    <t>TOP-GRF-M</t>
  </si>
  <si>
    <t>Graphic Tee</t>
  </si>
  <si>
    <t>UT-100098</t>
  </si>
  <si>
    <t>CUST_10097</t>
  </si>
  <si>
    <t>OUT-SHW-L</t>
  </si>
  <si>
    <t>Shawl Wrap</t>
  </si>
  <si>
    <t>UT-100099</t>
  </si>
  <si>
    <t>CUST_10098</t>
  </si>
  <si>
    <t>ACC-BLT-S</t>
  </si>
  <si>
    <t>Braided Belt</t>
  </si>
  <si>
    <t>UT-100100</t>
  </si>
  <si>
    <t>CUST_10099</t>
  </si>
  <si>
    <t>BOT-CUT-M</t>
  </si>
  <si>
    <t>Culottes</t>
  </si>
  <si>
    <t>UT-100101</t>
  </si>
  <si>
    <t>CUST_10100</t>
  </si>
  <si>
    <t>DRS-MXI-L</t>
  </si>
  <si>
    <t>UT-100102</t>
  </si>
  <si>
    <t>CUST_10101</t>
  </si>
  <si>
    <t>TOP-SLV-S</t>
  </si>
  <si>
    <t>Sleeveless Top</t>
  </si>
  <si>
    <t>UT-100103</t>
  </si>
  <si>
    <t>CUST_10102</t>
  </si>
  <si>
    <t>OUT-CPE-M</t>
  </si>
  <si>
    <t>Cape Coat</t>
  </si>
  <si>
    <t>UT-100104</t>
  </si>
  <si>
    <t>CUST_10103</t>
  </si>
  <si>
    <t>ACC-SHD-OS</t>
  </si>
  <si>
    <t>Shoulder Bag</t>
  </si>
  <si>
    <t>UT-100105</t>
  </si>
  <si>
    <t>CUST_10104</t>
  </si>
  <si>
    <t>BOT-STR-L</t>
  </si>
  <si>
    <t>Straight Pants</t>
  </si>
  <si>
    <t>UT-100106</t>
  </si>
  <si>
    <t>CUST_10105</t>
  </si>
  <si>
    <t>DRS-FIT-S</t>
  </si>
  <si>
    <t>Fit &amp; Flare Dress</t>
  </si>
  <si>
    <t>UT-100107</t>
  </si>
  <si>
    <t>CUST_10106</t>
  </si>
  <si>
    <t>TOP-CWL-M</t>
  </si>
  <si>
    <t>Cowl Neck Top</t>
  </si>
  <si>
    <t>UT-100108</t>
  </si>
  <si>
    <t>CUST_10107</t>
  </si>
  <si>
    <t>OUT-BLR-L</t>
  </si>
  <si>
    <t>Blazer</t>
  </si>
  <si>
    <t>UT-100109</t>
  </si>
  <si>
    <t>CUST_10108</t>
  </si>
  <si>
    <t>ACC-CFF-OS</t>
  </si>
  <si>
    <t>Cuff Bracelet</t>
  </si>
  <si>
    <t>UT-100110</t>
  </si>
  <si>
    <t>CUST_10109</t>
  </si>
  <si>
    <t>BOT-HRM-M</t>
  </si>
  <si>
    <t>Harem Pants</t>
  </si>
  <si>
    <t>UT-100111</t>
  </si>
  <si>
    <t>CUST_10110</t>
  </si>
  <si>
    <t>DRS-FES-M</t>
  </si>
  <si>
    <t>Festive Kurta Set</t>
  </si>
  <si>
    <t>DIWALI40</t>
  </si>
  <si>
    <t>UT-100112</t>
  </si>
  <si>
    <t>CUST_10111</t>
  </si>
  <si>
    <t>OUT-ETH-L</t>
  </si>
  <si>
    <t>Embroidered Jacket</t>
  </si>
  <si>
    <t>UT-100113</t>
  </si>
  <si>
    <t>CUST_10112</t>
  </si>
  <si>
    <t>TOP-FES-S</t>
  </si>
  <si>
    <t>Festive Blouse</t>
  </si>
  <si>
    <t>UT-100114</t>
  </si>
  <si>
    <t>CUST_10113</t>
  </si>
  <si>
    <t>Festive Clutch</t>
  </si>
  <si>
    <t>UT-100115</t>
  </si>
  <si>
    <t>CUST_10114</t>
  </si>
  <si>
    <t>BOT-ETH-M</t>
  </si>
  <si>
    <t>UT-100116</t>
  </si>
  <si>
    <t>CUST_10115</t>
  </si>
  <si>
    <t>DRS-ANK-S</t>
  </si>
  <si>
    <t>Anarkali Dress</t>
  </si>
  <si>
    <t>UT-100117</t>
  </si>
  <si>
    <t>CUST_10116</t>
  </si>
  <si>
    <t>TOP-ETH-M</t>
  </si>
  <si>
    <t>Embroidered Kurti</t>
  </si>
  <si>
    <t>UT-100118</t>
  </si>
  <si>
    <t>CUST_10117</t>
  </si>
  <si>
    <t>Pashmina Shawl</t>
  </si>
  <si>
    <t>Amritsar</t>
  </si>
  <si>
    <t>UT-100119</t>
  </si>
  <si>
    <t>CUST_10118</t>
  </si>
  <si>
    <t>DRS-LHG-M</t>
  </si>
  <si>
    <t>Lehenga Set</t>
  </si>
  <si>
    <t>UT-100120</t>
  </si>
  <si>
    <t>CUST_10119</t>
  </si>
  <si>
    <t>ACC-STL-OS</t>
  </si>
  <si>
    <t>Statement Necklace</t>
  </si>
  <si>
    <t>UT-100121</t>
  </si>
  <si>
    <t>CUST_10120</t>
  </si>
  <si>
    <t>TOP-SQN-S</t>
  </si>
  <si>
    <t>Sequin Top</t>
  </si>
  <si>
    <t>UT-100122</t>
  </si>
  <si>
    <t>CUST_10121</t>
  </si>
  <si>
    <t>BOT-LHG-S</t>
  </si>
  <si>
    <t>Lehenga Skirt</t>
  </si>
  <si>
    <t>UT-100123</t>
  </si>
  <si>
    <t>CUST_10122</t>
  </si>
  <si>
    <t>DRS-SAR-M</t>
  </si>
  <si>
    <t>Saree Gown</t>
  </si>
  <si>
    <t>UT-100124</t>
  </si>
  <si>
    <t>CUST_10123</t>
  </si>
  <si>
    <t>OUT-BLS-M</t>
  </si>
  <si>
    <t>Brocade Blazer</t>
  </si>
  <si>
    <t>UT-100125</t>
  </si>
  <si>
    <t>CUST_10124</t>
  </si>
  <si>
    <t>ACC-MNG-OS</t>
  </si>
  <si>
    <t>Maang Tikka Set</t>
  </si>
  <si>
    <t>Varanasi</t>
  </si>
  <si>
    <t>UT-100126</t>
  </si>
  <si>
    <t>CUST_10125</t>
  </si>
  <si>
    <t>TOP-ZAR-L</t>
  </si>
  <si>
    <t>Zardozi Blouse</t>
  </si>
  <si>
    <t>UT-100127</t>
  </si>
  <si>
    <t>CUST_10126</t>
  </si>
  <si>
    <t>DRS-FES-L</t>
  </si>
  <si>
    <t>Festive Gown</t>
  </si>
  <si>
    <t>UT-100128</t>
  </si>
  <si>
    <t>CUST_10127</t>
  </si>
  <si>
    <t>BOT-SLK-M</t>
  </si>
  <si>
    <t>Silk Pants</t>
  </si>
  <si>
    <t>UT-100129</t>
  </si>
  <si>
    <t>CUST_10128</t>
  </si>
  <si>
    <t>Velvet Jacket</t>
  </si>
  <si>
    <t>UT-100130</t>
  </si>
  <si>
    <t>CUST_10129</t>
  </si>
  <si>
    <t>ACC-TKA-OS</t>
  </si>
  <si>
    <t>Tikka Headpiece</t>
  </si>
  <si>
    <t>UT-100131</t>
  </si>
  <si>
    <t>CUST_10130</t>
  </si>
  <si>
    <t>TOP-GOT-S</t>
  </si>
  <si>
    <t>Gota Patti Top</t>
  </si>
  <si>
    <t>UT-100132</t>
  </si>
  <si>
    <t>CUST_10131</t>
  </si>
  <si>
    <t>DRS-BND-M</t>
  </si>
  <si>
    <t>Bandhani Dress</t>
  </si>
  <si>
    <t>UT-100133</t>
  </si>
  <si>
    <t>CUST_10132</t>
  </si>
  <si>
    <t>BOT-BRC-L</t>
  </si>
  <si>
    <t>Brocade Pants</t>
  </si>
  <si>
    <t>UT-100134</t>
  </si>
  <si>
    <t>CUST_10133</t>
  </si>
  <si>
    <t>OUT-ZRI-M</t>
  </si>
  <si>
    <t>Zari Work Jacket</t>
  </si>
  <si>
    <t>UT-100135</t>
  </si>
  <si>
    <t>CUST_10134</t>
  </si>
  <si>
    <t>ACC-JHM-OS</t>
  </si>
  <si>
    <t>Jhumka Earrings</t>
  </si>
  <si>
    <t>UT-100136</t>
  </si>
  <si>
    <t>CUST_10135</t>
  </si>
  <si>
    <t>TOP-MRR-S</t>
  </si>
  <si>
    <t>Mirror Work Top</t>
  </si>
  <si>
    <t>UT-100137</t>
  </si>
  <si>
    <t>CUST_10136</t>
  </si>
  <si>
    <t>DRS-PTL-M</t>
  </si>
  <si>
    <t>Patiala Suit</t>
  </si>
  <si>
    <t>UT-100138</t>
  </si>
  <si>
    <t>CUST_10137</t>
  </si>
  <si>
    <t>BOT-DHT-L</t>
  </si>
  <si>
    <t>Dhoti Pants</t>
  </si>
  <si>
    <t>UT-100139</t>
  </si>
  <si>
    <t>CUST_10138</t>
  </si>
  <si>
    <t>OUT-KTN-M</t>
  </si>
  <si>
    <t>Katan Silk Jacket</t>
  </si>
  <si>
    <t>UT-100140</t>
  </si>
  <si>
    <t>CUST_10139</t>
  </si>
  <si>
    <t>ACC-KDN-OS</t>
  </si>
  <si>
    <t>Kundan Set</t>
  </si>
  <si>
    <t>UT-100141</t>
  </si>
  <si>
    <t>CUST_10140</t>
  </si>
  <si>
    <t>TOP-CHK-L</t>
  </si>
  <si>
    <t>Chikankari Top</t>
  </si>
  <si>
    <t>UT-100142</t>
  </si>
  <si>
    <t>CUST_10141</t>
  </si>
  <si>
    <t>Sharara Set</t>
  </si>
  <si>
    <t>UT-100143</t>
  </si>
  <si>
    <t>CUST_10142</t>
  </si>
  <si>
    <t>BOT-GRR-M</t>
  </si>
  <si>
    <t>Gharara Pants</t>
  </si>
  <si>
    <t>UT-100144</t>
  </si>
  <si>
    <t>CUST_10143</t>
  </si>
  <si>
    <t>OUT-PHU-L</t>
  </si>
  <si>
    <t>Phulkari Jacket</t>
  </si>
  <si>
    <t>UT-100145</t>
  </si>
  <si>
    <t>CUST_10144</t>
  </si>
  <si>
    <t>ACC-MNP-OS</t>
  </si>
  <si>
    <t>Mang Patti</t>
  </si>
  <si>
    <t>UT-100146</t>
  </si>
  <si>
    <t>CUST_10145</t>
  </si>
  <si>
    <t>TOP-BND-S</t>
  </si>
  <si>
    <t>Bandhej Top</t>
  </si>
  <si>
    <t>UT-100147</t>
  </si>
  <si>
    <t>CUST_10146</t>
  </si>
  <si>
    <t>DRS-LKH-M</t>
  </si>
  <si>
    <t>Lucknowi Dress</t>
  </si>
  <si>
    <t>UT-100148</t>
  </si>
  <si>
    <t>CUST_10147</t>
  </si>
  <si>
    <t>BOT-PTL-L</t>
  </si>
  <si>
    <t>Patiala Pants</t>
  </si>
  <si>
    <t>UT-100149</t>
  </si>
  <si>
    <t>CUST_10148</t>
  </si>
  <si>
    <t>OUT-KTH-M</t>
  </si>
  <si>
    <t>Katha Work Jacket</t>
  </si>
  <si>
    <t>UT-100150</t>
  </si>
  <si>
    <t>CUST_10149</t>
  </si>
  <si>
    <t>ACC-BNG-OS</t>
  </si>
  <si>
    <t>Bangle Set</t>
  </si>
  <si>
    <t>UT-100151</t>
  </si>
  <si>
    <t>CUST_10150</t>
  </si>
  <si>
    <t>TOP-KSH-L</t>
  </si>
  <si>
    <t>Kashmiri Top</t>
  </si>
  <si>
    <t>UT-100152</t>
  </si>
  <si>
    <t>CUST_10151</t>
  </si>
  <si>
    <t>DRS-IDR-S</t>
  </si>
  <si>
    <t>Ikat Dress</t>
  </si>
  <si>
    <t>UT-100153</t>
  </si>
  <si>
    <t>CUST_10152</t>
  </si>
  <si>
    <t>BOT-KLN-M</t>
  </si>
  <si>
    <t>Kalamkari Pants</t>
  </si>
  <si>
    <t>Nov15</t>
  </si>
  <si>
    <t>UT-100154</t>
  </si>
  <si>
    <t>CUST_10153</t>
  </si>
  <si>
    <t>OUT-JQD-L</t>
  </si>
  <si>
    <t>Jacquard Jacket</t>
  </si>
  <si>
    <t>UT-100155</t>
  </si>
  <si>
    <t>CUST_10154</t>
  </si>
  <si>
    <t>ACC-CHN-OS</t>
  </si>
  <si>
    <t>Choker Necklace</t>
  </si>
  <si>
    <t>UT-100156</t>
  </si>
  <si>
    <t>CUST_10155</t>
  </si>
  <si>
    <t>TOP-AJR-M</t>
  </si>
  <si>
    <t>Ajrakh Print Top</t>
  </si>
  <si>
    <t>UT-100157</t>
  </si>
  <si>
    <t>CUST_10156</t>
  </si>
  <si>
    <t>DRS-BLK-L</t>
  </si>
  <si>
    <t>Block Print Dress</t>
  </si>
  <si>
    <t>UT-100158</t>
  </si>
  <si>
    <t>CUST_10157</t>
  </si>
  <si>
    <t>BOT-TIE-S</t>
  </si>
  <si>
    <t>Tie Dye Pants</t>
  </si>
  <si>
    <t>UT-100159</t>
  </si>
  <si>
    <t>CUST_10158</t>
  </si>
  <si>
    <t>OUT-EMB-M</t>
  </si>
  <si>
    <t>Embellished Jacket</t>
  </si>
  <si>
    <t>UT-100160</t>
  </si>
  <si>
    <t>CUST_10159</t>
  </si>
  <si>
    <t>ACC-HRM-OS</t>
  </si>
  <si>
    <t>Hair Clip Set</t>
  </si>
  <si>
    <t>UT-100161</t>
  </si>
  <si>
    <t>CUST_10160</t>
  </si>
  <si>
    <t>TOP-PRN-L</t>
  </si>
  <si>
    <t>Printed Kurta</t>
  </si>
  <si>
    <t>UT-100162</t>
  </si>
  <si>
    <t>CUST_10161</t>
  </si>
  <si>
    <t>DRS-FLR-S</t>
  </si>
  <si>
    <t>Floral Print Dress</t>
  </si>
  <si>
    <t>UT-100163</t>
  </si>
  <si>
    <t>CUST_10162</t>
  </si>
  <si>
    <t>BOT-DOT-M</t>
  </si>
  <si>
    <t>Polka Dot Pants</t>
  </si>
  <si>
    <t>UT-100164</t>
  </si>
  <si>
    <t>CUST_10163</t>
  </si>
  <si>
    <t>OUT-STR-L</t>
  </si>
  <si>
    <t>Striped Blazer</t>
  </si>
  <si>
    <t>UT-100165</t>
  </si>
  <si>
    <t>CUST_10164</t>
  </si>
  <si>
    <t>ACC-TBR-OS</t>
  </si>
  <si>
    <t>Tassel Earrings</t>
  </si>
  <si>
    <t>UT-100166</t>
  </si>
  <si>
    <t>CUST_10165</t>
  </si>
  <si>
    <t>Sleeve Detail Top</t>
  </si>
  <si>
    <t>UT-100167</t>
  </si>
  <si>
    <t>CUST_10166</t>
  </si>
  <si>
    <t>DRS-ASY-M</t>
  </si>
  <si>
    <t>Asymmetric Dress</t>
  </si>
  <si>
    <t>UT-100168</t>
  </si>
  <si>
    <t>CUST_10167</t>
  </si>
  <si>
    <t>BOT-FRN-L</t>
  </si>
  <si>
    <t>Fringe Pants</t>
  </si>
  <si>
    <t>UT-100169</t>
  </si>
  <si>
    <t>CUST_10168</t>
  </si>
  <si>
    <t>OUT-TWD-M</t>
  </si>
  <si>
    <t>Tweed Jacket</t>
  </si>
  <si>
    <t>UT-100170</t>
  </si>
  <si>
    <t>CUST_10169</t>
  </si>
  <si>
    <t>ACC-PIN-OS</t>
  </si>
  <si>
    <t>Brooch Pin</t>
  </si>
  <si>
    <t>UT-100171</t>
  </si>
  <si>
    <t>CUST_10170</t>
  </si>
  <si>
    <t>TOP-MCR-M</t>
  </si>
  <si>
    <t>Macrame Top</t>
  </si>
  <si>
    <t>UT-100172</t>
  </si>
  <si>
    <t>CUST_10171</t>
  </si>
  <si>
    <t>DRS-PLT-S</t>
  </si>
  <si>
    <t>Pleated Midi Dress</t>
  </si>
  <si>
    <t>UT-100173</t>
  </si>
  <si>
    <t>CUST_10172</t>
  </si>
  <si>
    <t>BOT-VLT-L</t>
  </si>
  <si>
    <t>Velvet Pants</t>
  </si>
  <si>
    <t>UT-100174</t>
  </si>
  <si>
    <t>CUST_10173</t>
  </si>
  <si>
    <t>OUT-CHK-M</t>
  </si>
  <si>
    <t>Check Coat</t>
  </si>
  <si>
    <t>UT-100175</t>
  </si>
  <si>
    <t>CUST_10174</t>
  </si>
  <si>
    <t>ACC-WVN-OS</t>
  </si>
  <si>
    <t>Woven Bag</t>
  </si>
  <si>
    <t>UT-100176</t>
  </si>
  <si>
    <t>CUST_10175</t>
  </si>
  <si>
    <t>TOP-BLN-L</t>
  </si>
  <si>
    <t>Balloon Sleeve Top</t>
  </si>
  <si>
    <t>UT-100177</t>
  </si>
  <si>
    <t>CUST_10176</t>
  </si>
  <si>
    <t>DRS-CRO-S</t>
  </si>
  <si>
    <t>Crochet Dress</t>
  </si>
  <si>
    <t>UT-100178</t>
  </si>
  <si>
    <t>CUST_10177</t>
  </si>
  <si>
    <t>BOT-PTW-M</t>
  </si>
  <si>
    <t>Patchwork Pants</t>
  </si>
  <si>
    <t>UT-100179</t>
  </si>
  <si>
    <t>CUST_10178</t>
  </si>
  <si>
    <t>OUT-HRN-L</t>
  </si>
  <si>
    <t>Herringbone Coat</t>
  </si>
  <si>
    <t>UT-100180</t>
  </si>
  <si>
    <t>CUST_10179</t>
  </si>
  <si>
    <t>ACC-MTL-OS</t>
  </si>
  <si>
    <t>Metal Belt</t>
  </si>
  <si>
    <t>UT-100181</t>
  </si>
  <si>
    <t>CUST_10180</t>
  </si>
  <si>
    <t>TOP-RCH-S</t>
  </si>
  <si>
    <t>Rouched Top</t>
  </si>
  <si>
    <t>UT-100182</t>
  </si>
  <si>
    <t>CUST_10181</t>
  </si>
  <si>
    <t>DRS-TRF-M</t>
  </si>
  <si>
    <t>Tiered Ruffle Dress</t>
  </si>
  <si>
    <t>UT-100183</t>
  </si>
  <si>
    <t>CUST_10182</t>
  </si>
  <si>
    <t>BOT-BND-L</t>
  </si>
  <si>
    <t>Banded Pants</t>
  </si>
  <si>
    <t>UT-100184</t>
  </si>
  <si>
    <t>CUST_10183</t>
  </si>
  <si>
    <t>OUT-CML-M</t>
  </si>
  <si>
    <t>Camel Coat</t>
  </si>
  <si>
    <t>UT-100185</t>
  </si>
  <si>
    <t>CUST_10184</t>
  </si>
  <si>
    <t>ACC-STN-OS</t>
  </si>
  <si>
    <t>Stone Necklace</t>
  </si>
  <si>
    <t>UT-100186</t>
  </si>
  <si>
    <t>CUST_10185</t>
  </si>
  <si>
    <t>TOP-KNT-M</t>
  </si>
  <si>
    <t>Knotted Top</t>
  </si>
  <si>
    <t>UT-100187</t>
  </si>
  <si>
    <t>CUST_10186</t>
  </si>
  <si>
    <t>DRS-SQN-L</t>
  </si>
  <si>
    <t>Sequin Midi Dress</t>
  </si>
  <si>
    <t>UT-100188</t>
  </si>
  <si>
    <t>CUST_10187</t>
  </si>
  <si>
    <t>BOT-GLT-S</t>
  </si>
  <si>
    <t>Glitter Pants</t>
  </si>
  <si>
    <t>UT-100189</t>
  </si>
  <si>
    <t>CUST_10188</t>
  </si>
  <si>
    <t>OUT-FXF-M</t>
  </si>
  <si>
    <t>Faux Fur Jacket</t>
  </si>
  <si>
    <t>UT-100190</t>
  </si>
  <si>
    <t>CUST_10189</t>
  </si>
  <si>
    <t>ACC-CHM-OS</t>
  </si>
  <si>
    <t>Charm Anklet</t>
  </si>
  <si>
    <t>UT-100191</t>
  </si>
  <si>
    <t>CUST_10190</t>
  </si>
  <si>
    <t>TOP-TXD-L</t>
  </si>
  <si>
    <t>Textured Top</t>
  </si>
  <si>
    <t>UT-100192</t>
  </si>
  <si>
    <t>CUST_10191</t>
  </si>
  <si>
    <t>DRS-VLR-S</t>
  </si>
  <si>
    <t>Velour Dress</t>
  </si>
  <si>
    <t>UT-100193</t>
  </si>
  <si>
    <t>CUST_10192</t>
  </si>
  <si>
    <t>BOT-STN-M</t>
  </si>
  <si>
    <t>Satin Pants</t>
  </si>
  <si>
    <t>UT-100194</t>
  </si>
  <si>
    <t>CUST_10193</t>
  </si>
  <si>
    <t>OUT-SHN-L</t>
  </si>
  <si>
    <t>Shiny Jacket</t>
  </si>
  <si>
    <t>UT-100195</t>
  </si>
  <si>
    <t>CUST_10194</t>
  </si>
  <si>
    <t>ACC-PRL-OS</t>
  </si>
  <si>
    <t>Pearl Earrings</t>
  </si>
  <si>
    <t>UT-100196</t>
  </si>
  <si>
    <t>CUST_10195</t>
  </si>
  <si>
    <t>TOP-MTL-S</t>
  </si>
  <si>
    <t>Metallic Top</t>
  </si>
  <si>
    <t>UT-100197</t>
  </si>
  <si>
    <t>CUST_10196</t>
  </si>
  <si>
    <t>DRS-GLM-M</t>
  </si>
  <si>
    <t>Glamour Dress</t>
  </si>
  <si>
    <t>UT-100198</t>
  </si>
  <si>
    <t>CUST_10197</t>
  </si>
  <si>
    <t>BOT-LME-L</t>
  </si>
  <si>
    <t>Lame Pants</t>
  </si>
  <si>
    <t>UT-100199</t>
  </si>
  <si>
    <t>CUST_10198</t>
  </si>
  <si>
    <t>OUT-SPK-M</t>
  </si>
  <si>
    <t>Sparkle Jacket</t>
  </si>
  <si>
    <t>UT-100200</t>
  </si>
  <si>
    <t>CUST_10199</t>
  </si>
  <si>
    <t>ACC-CRY-OS</t>
  </si>
  <si>
    <t>Crystal Bracelet</t>
  </si>
  <si>
    <t>UT-100201</t>
  </si>
  <si>
    <t>CUST_10200</t>
  </si>
  <si>
    <t>TOP-SHR-L</t>
  </si>
  <si>
    <t>Sheer Top</t>
  </si>
  <si>
    <t>UT-100202</t>
  </si>
  <si>
    <t>CUST_10201</t>
  </si>
  <si>
    <t>DRS-CHF-S</t>
  </si>
  <si>
    <t>Chiffon Dress</t>
  </si>
  <si>
    <t>UT-100203</t>
  </si>
  <si>
    <t>CUST_10202</t>
  </si>
  <si>
    <t>BOT-ORG-M</t>
  </si>
  <si>
    <t>Organza Pants</t>
  </si>
  <si>
    <t>UT-100204</t>
  </si>
  <si>
    <t>CUST_10203</t>
  </si>
  <si>
    <t>OUT-MET-L</t>
  </si>
  <si>
    <t>Metallic Coat</t>
  </si>
  <si>
    <t>UT-100205</t>
  </si>
  <si>
    <t>CUST_10204</t>
  </si>
  <si>
    <t>ACC-DMD-OS</t>
  </si>
  <si>
    <t>Diamond Studs</t>
  </si>
  <si>
    <t>UT-100206</t>
  </si>
  <si>
    <t>CUST_10205</t>
  </si>
  <si>
    <t>TOP-BDS-M</t>
  </si>
  <si>
    <t>Beaded Top</t>
  </si>
  <si>
    <t>UT-100207</t>
  </si>
  <si>
    <t>CUST_10206</t>
  </si>
  <si>
    <t>DRS-SPL-L</t>
  </si>
  <si>
    <t>Sparkle Gown</t>
  </si>
  <si>
    <t>UT-100208</t>
  </si>
  <si>
    <t>CUST_10207</t>
  </si>
  <si>
    <t>BOT-EMB-S</t>
  </si>
  <si>
    <t>Embroidered Pants</t>
  </si>
  <si>
    <t>UT-100209</t>
  </si>
  <si>
    <t>CUST_10208</t>
  </si>
  <si>
    <t>OUT-NYE-M</t>
  </si>
  <si>
    <t>NYE Jacket</t>
  </si>
  <si>
    <t>UT-100210</t>
  </si>
  <si>
    <t>CUST_10209</t>
  </si>
  <si>
    <t>ACC-GLD-OS</t>
  </si>
  <si>
    <t>Gold Cuff</t>
  </si>
  <si>
    <t>UT-100211</t>
  </si>
  <si>
    <t>CUST_10210</t>
  </si>
  <si>
    <t>TOP-FTR-S</t>
  </si>
  <si>
    <t>Feather Top</t>
  </si>
  <si>
    <t>UT-100212</t>
  </si>
  <si>
    <t>CUST_10211</t>
  </si>
  <si>
    <t>DRS-CCK-M</t>
  </si>
  <si>
    <t>Cocktail Dress</t>
  </si>
  <si>
    <t>UT-100213</t>
  </si>
  <si>
    <t>CUST_10212</t>
  </si>
  <si>
    <t>BOT-SQN-L</t>
  </si>
  <si>
    <t>Sequin Skirt</t>
  </si>
  <si>
    <t>UT-100214</t>
  </si>
  <si>
    <t>CUST_10213</t>
  </si>
  <si>
    <t>OUT-PRT-M</t>
  </si>
  <si>
    <t>Party Jacket</t>
  </si>
  <si>
    <t>UT-100215</t>
  </si>
  <si>
    <t>CUST_10214</t>
  </si>
  <si>
    <t>ACC-SLV-OS</t>
  </si>
  <si>
    <t>Silver Bangle</t>
  </si>
  <si>
    <t>UT-100216</t>
  </si>
  <si>
    <t>CUST_10215</t>
  </si>
  <si>
    <t>TOP-GLT-L</t>
  </si>
  <si>
    <t>Glitter Tank</t>
  </si>
  <si>
    <t>UT-100217</t>
  </si>
  <si>
    <t>CUST_10216</t>
  </si>
  <si>
    <t>DRS-STR-S</t>
  </si>
  <si>
    <t>Star Print Dress</t>
  </si>
  <si>
    <t>UT-100218</t>
  </si>
  <si>
    <t>CUST_10217</t>
  </si>
  <si>
    <t>BOT-MTL-M</t>
  </si>
  <si>
    <t>Metallic Pants</t>
  </si>
  <si>
    <t>UT-100219</t>
  </si>
  <si>
    <t>CUST_10218</t>
  </si>
  <si>
    <t>OUT-FRM-L</t>
  </si>
  <si>
    <t>Formal Coat</t>
  </si>
  <si>
    <t>UT-100220</t>
  </si>
  <si>
    <t>CUST_10219</t>
  </si>
  <si>
    <t>ACC-RBN-OS</t>
  </si>
  <si>
    <t>Ribbon Choker</t>
  </si>
  <si>
    <t>UT-100221</t>
  </si>
  <si>
    <t>CUST_10220</t>
  </si>
  <si>
    <t>TOP-VNY-M</t>
  </si>
  <si>
    <t>Vinyl Top</t>
  </si>
  <si>
    <t>UT-100222</t>
  </si>
  <si>
    <t>CUST_10221</t>
  </si>
  <si>
    <t>DRS-NYE-L</t>
  </si>
  <si>
    <t>New Year Gown</t>
  </si>
  <si>
    <t>UT-100223</t>
  </si>
  <si>
    <t>CUST_10222</t>
  </si>
  <si>
    <t>BOT-LTX-S</t>
  </si>
  <si>
    <t>Latex Pants</t>
  </si>
  <si>
    <t>UT-100224</t>
  </si>
  <si>
    <t>CUST_10223</t>
  </si>
  <si>
    <t>OUT-GLM-M</t>
  </si>
  <si>
    <t>Glam Jacket</t>
  </si>
  <si>
    <t>UT-100225</t>
  </si>
  <si>
    <t>CUST_10224</t>
  </si>
  <si>
    <t>ACC-GEM-OS</t>
  </si>
  <si>
    <t>Gemstone Ring</t>
  </si>
  <si>
    <t>UT-100226</t>
  </si>
  <si>
    <t>CUST_10225</t>
  </si>
  <si>
    <t>TOP-HOD-L</t>
  </si>
  <si>
    <t>Zip Hoodie</t>
  </si>
  <si>
    <t>Dec20</t>
  </si>
  <si>
    <t>UT-100227</t>
  </si>
  <si>
    <t>CUST_10226</t>
  </si>
  <si>
    <t>OUT-COT-M</t>
  </si>
  <si>
    <t>Puffer Coat</t>
  </si>
  <si>
    <t>UT-100228</t>
  </si>
  <si>
    <t>CUST_10227</t>
  </si>
  <si>
    <t>ACC-MFL-OS</t>
  </si>
  <si>
    <t>Cashmere Scarf</t>
  </si>
  <si>
    <t>UT-100229</t>
  </si>
  <si>
    <t>CUST_10228</t>
  </si>
  <si>
    <t>DRS-PLT-M</t>
  </si>
  <si>
    <t>Pleated Dress</t>
  </si>
  <si>
    <t>UT-100230</t>
  </si>
  <si>
    <t>CUST_10229</t>
  </si>
  <si>
    <t>TOP-THR-L</t>
  </si>
  <si>
    <t>Thermal Top</t>
  </si>
  <si>
    <t>Shimla</t>
  </si>
  <si>
    <t>Himachal Pradesh</t>
  </si>
  <si>
    <t>UT-100231</t>
  </si>
  <si>
    <t>CUST_10230</t>
  </si>
  <si>
    <t>BOT-FLC-M</t>
  </si>
  <si>
    <t>Fleece Joggers</t>
  </si>
  <si>
    <t>Dehradun</t>
  </si>
  <si>
    <t>Uttarakhand</t>
  </si>
  <si>
    <t>UT-100232</t>
  </si>
  <si>
    <t>CUST_10231</t>
  </si>
  <si>
    <t>Srinagar</t>
  </si>
  <si>
    <t>Jammu &amp; Kashmir</t>
  </si>
  <si>
    <t>UT-100233</t>
  </si>
  <si>
    <t>CUST_10232</t>
  </si>
  <si>
    <t>ACC-BNE-OS</t>
  </si>
  <si>
    <t>Beanie Cap</t>
  </si>
  <si>
    <t>Manali</t>
  </si>
  <si>
    <t>UT-100234</t>
  </si>
  <si>
    <t>CUST_10233</t>
  </si>
  <si>
    <t>TOP-SWT-S</t>
  </si>
  <si>
    <t>Cropped Sweater</t>
  </si>
  <si>
    <t>Darjeeling</t>
  </si>
  <si>
    <t>UT-100235</t>
  </si>
  <si>
    <t>CUST_10234</t>
  </si>
  <si>
    <t>DRS-WRM-M</t>
  </si>
  <si>
    <t>Gangtok</t>
  </si>
  <si>
    <t>Sikkim</t>
  </si>
  <si>
    <t>UT-100236</t>
  </si>
  <si>
    <t>CUST_10235</t>
  </si>
  <si>
    <t>BOT-WOL-L</t>
  </si>
  <si>
    <t>Wool Trousers</t>
  </si>
  <si>
    <t>Shillong</t>
  </si>
  <si>
    <t>Meghalaya</t>
  </si>
  <si>
    <t>UT-100237</t>
  </si>
  <si>
    <t>CUST_10236</t>
  </si>
  <si>
    <t>OUT-DWN-M</t>
  </si>
  <si>
    <t>Down Jacket</t>
  </si>
  <si>
    <t>Leh</t>
  </si>
  <si>
    <t>Ladakh</t>
  </si>
  <si>
    <t>UT-100238</t>
  </si>
  <si>
    <t>CUST_10237</t>
  </si>
  <si>
    <t>TOP-VLV-S</t>
  </si>
  <si>
    <t>Velvet Top</t>
  </si>
  <si>
    <t>Ooty</t>
  </si>
  <si>
    <t>UT-100239</t>
  </si>
  <si>
    <t>CUST_10238</t>
  </si>
  <si>
    <t>ACC-ERM-OS</t>
  </si>
  <si>
    <t>Ear Muffs</t>
  </si>
  <si>
    <t>Munnar</t>
  </si>
  <si>
    <t>UT-100240</t>
  </si>
  <si>
    <t>CUST_10239</t>
  </si>
  <si>
    <t>DRS-NYE-S</t>
  </si>
  <si>
    <t>Sequin Party Dress</t>
  </si>
  <si>
    <t>Goa</t>
  </si>
  <si>
    <t>UT-100241</t>
  </si>
  <si>
    <t>CUST_10240</t>
  </si>
  <si>
    <t>TOP-SPK-M</t>
  </si>
  <si>
    <t>Sparkle Top</t>
  </si>
  <si>
    <t>UT-100242</t>
  </si>
  <si>
    <t>CUST_10241</t>
  </si>
  <si>
    <t>BOT-VLV-S</t>
  </si>
  <si>
    <t>UT-100243</t>
  </si>
  <si>
    <t>CUST_10242</t>
  </si>
  <si>
    <t>OUT-FUR-L</t>
  </si>
  <si>
    <t>Faux Fur Coat</t>
  </si>
  <si>
    <t>UT-100244</t>
  </si>
  <si>
    <t>CUST_10243</t>
  </si>
  <si>
    <t>Evening Clutch</t>
  </si>
  <si>
    <t>UT-100245</t>
  </si>
  <si>
    <t>CUST_10244</t>
  </si>
  <si>
    <t>TOP-MET-S</t>
  </si>
  <si>
    <t>Metallic Blouse</t>
  </si>
  <si>
    <t>UT-100246</t>
  </si>
  <si>
    <t>CUST_10245</t>
  </si>
  <si>
    <t>DRS-GLT-M</t>
  </si>
  <si>
    <t>Glitter Dress</t>
  </si>
  <si>
    <t>UT-100247</t>
  </si>
  <si>
    <t>CUST_10246</t>
  </si>
  <si>
    <t>BOT-SLK-S</t>
  </si>
  <si>
    <t>Silk Trousers</t>
  </si>
  <si>
    <t>UT-100248</t>
  </si>
  <si>
    <t>CUST_10247</t>
  </si>
  <si>
    <t>Velvet Cape</t>
  </si>
  <si>
    <t>UT-100249</t>
  </si>
  <si>
    <t>CUST_10248</t>
  </si>
  <si>
    <t>ACC-HDB-OS</t>
  </si>
  <si>
    <t>Embellished Handbag</t>
  </si>
  <si>
    <t>UT-100250</t>
  </si>
  <si>
    <t>CUST_10249</t>
  </si>
  <si>
    <t>TOP-NYE-XS</t>
  </si>
  <si>
    <t>Party Bodysuit</t>
  </si>
  <si>
    <t>UT-100251</t>
  </si>
  <si>
    <t>CUST_10250</t>
  </si>
  <si>
    <t>DRS-CCT-S</t>
  </si>
  <si>
    <t>UT-100252</t>
  </si>
  <si>
    <t>CUST_10251</t>
  </si>
  <si>
    <t>BOT-SQN-M</t>
  </si>
  <si>
    <t>UT-100253</t>
  </si>
  <si>
    <t>CUST_10252</t>
  </si>
  <si>
    <t>OUT-BLZ-S</t>
  </si>
  <si>
    <t>Tuxedo Blazer</t>
  </si>
  <si>
    <t>UT-100254</t>
  </si>
  <si>
    <t>CUST_10253</t>
  </si>
  <si>
    <t>ACC-TRA-OS</t>
  </si>
  <si>
    <t>Tiara Headband</t>
  </si>
  <si>
    <t>UT-100255</t>
  </si>
  <si>
    <t>CUST_10254</t>
  </si>
  <si>
    <t>UT-100256</t>
  </si>
  <si>
    <t>CUST_10255</t>
  </si>
  <si>
    <t>DRS-BLB-S</t>
  </si>
  <si>
    <t>Balloon Sleeve Dress</t>
  </si>
  <si>
    <t>UT-100257</t>
  </si>
  <si>
    <t>CUST_10256</t>
  </si>
  <si>
    <t>BOT-WDE-L</t>
  </si>
  <si>
    <t>UT-100258</t>
  </si>
  <si>
    <t>CUST_10257</t>
  </si>
  <si>
    <t>OUT-SQN-M</t>
  </si>
  <si>
    <t>Sequin Jacket</t>
  </si>
  <si>
    <t>UT-100259</t>
  </si>
  <si>
    <t>CUST_10258</t>
  </si>
  <si>
    <t>ACC-PRT-OS</t>
  </si>
  <si>
    <t>Party Earrings</t>
  </si>
  <si>
    <t>UT-100260</t>
  </si>
  <si>
    <t>CUST_10259</t>
  </si>
  <si>
    <t>TOP-FTH-S</t>
  </si>
  <si>
    <t>Feather Trim Top</t>
  </si>
  <si>
    <t>UT-100261</t>
  </si>
  <si>
    <t>CUST_10260</t>
  </si>
  <si>
    <t>DRS-PRY-M</t>
  </si>
  <si>
    <t>Party Maxi</t>
  </si>
  <si>
    <t>UT-100262</t>
  </si>
  <si>
    <t>CUST_10261</t>
  </si>
  <si>
    <t>BOT-GLM-S</t>
  </si>
  <si>
    <t>Glam Pants</t>
  </si>
  <si>
    <t>UT-100263</t>
  </si>
  <si>
    <t>CUST_10262</t>
  </si>
  <si>
    <t>OUT-LME-L</t>
  </si>
  <si>
    <t>Lame Blazer</t>
  </si>
  <si>
    <t>UT-100264</t>
  </si>
  <si>
    <t>CUST_10263</t>
  </si>
  <si>
    <t>ACC-NYE-OS</t>
  </si>
  <si>
    <t>NYE Headpiece</t>
  </si>
  <si>
    <t>UT-100265</t>
  </si>
  <si>
    <t>CUST_10264</t>
  </si>
  <si>
    <t>TOP-SHM-M</t>
  </si>
  <si>
    <t>Shimmer Top</t>
  </si>
  <si>
    <t>UT-100266</t>
  </si>
  <si>
    <t>CUST_10265</t>
  </si>
  <si>
    <t>DRS-CNT-L</t>
  </si>
  <si>
    <t>Countdown Dress</t>
  </si>
  <si>
    <t>UT-100267</t>
  </si>
  <si>
    <t>CUST_10266</t>
  </si>
  <si>
    <t>BOT-CHM-S</t>
  </si>
  <si>
    <t>Champagne Pants</t>
  </si>
  <si>
    <t>UT-100268</t>
  </si>
  <si>
    <t>CUST_10267</t>
  </si>
  <si>
    <t>OUT-RSE-M</t>
  </si>
  <si>
    <t>Rose Gold Jacket</t>
  </si>
  <si>
    <t>UT-100269</t>
  </si>
  <si>
    <t>CUST_10268</t>
  </si>
  <si>
    <t>ACC-MSK-OS</t>
  </si>
  <si>
    <t>Mask Chain</t>
  </si>
  <si>
    <t>UT-100270</t>
  </si>
  <si>
    <t>CUST_10269</t>
  </si>
  <si>
    <t>TOP-CEL-L</t>
  </si>
  <si>
    <t>Celebration Top</t>
  </si>
  <si>
    <t>UT-100271</t>
  </si>
  <si>
    <t>CUST_10270</t>
  </si>
  <si>
    <t>DRS-MID-S</t>
  </si>
  <si>
    <t>Midnight Dress</t>
  </si>
  <si>
    <t>UT-100272</t>
  </si>
  <si>
    <t>CUST_10271</t>
  </si>
  <si>
    <t>BOT-NYS-M</t>
  </si>
  <si>
    <t>NYE Skirt</t>
  </si>
  <si>
    <t>UT-100273</t>
  </si>
  <si>
    <t>CUST_10272</t>
  </si>
  <si>
    <t>OUT-FRS-L</t>
  </si>
  <si>
    <t>Frost Jacket</t>
  </si>
  <si>
    <t>UT-100274</t>
  </si>
  <si>
    <t>CUST_10273</t>
  </si>
  <si>
    <t>ACC-SPR-OS</t>
  </si>
  <si>
    <t>Sparkle Hair Clip</t>
  </si>
  <si>
    <t>UT-100275</t>
  </si>
  <si>
    <t>CUST_10274</t>
  </si>
  <si>
    <t>TOP-GLS-M</t>
  </si>
  <si>
    <t>Glass Bead Top</t>
  </si>
  <si>
    <t>UT-100276</t>
  </si>
  <si>
    <t>CUST_10275</t>
  </si>
  <si>
    <t>DRS-FNL-L</t>
  </si>
  <si>
    <t>Finale Gown</t>
  </si>
  <si>
    <t>UT-100277</t>
  </si>
  <si>
    <t>CUST_10276</t>
  </si>
  <si>
    <t>BOT-PRY-S</t>
  </si>
  <si>
    <t>Party Leggings</t>
  </si>
  <si>
    <t>UT-100278</t>
  </si>
  <si>
    <t>CUST_10277</t>
  </si>
  <si>
    <t>OUT-CHR-M</t>
  </si>
  <si>
    <t>Christmas Jacket</t>
  </si>
  <si>
    <t>UT-100279</t>
  </si>
  <si>
    <t>CUST_10278</t>
  </si>
  <si>
    <t>ACC-BLS-OS</t>
  </si>
  <si>
    <t>Blush Bag</t>
  </si>
  <si>
    <t>UT-100280</t>
  </si>
  <si>
    <t>CUST_10279</t>
  </si>
  <si>
    <t>TOP-YRS-L</t>
  </si>
  <si>
    <t>Year End Top</t>
  </si>
  <si>
    <t>UT-100281</t>
  </si>
  <si>
    <t>CUST_10280</t>
  </si>
  <si>
    <t>Evening Elegance</t>
  </si>
  <si>
    <t>UT-100282</t>
  </si>
  <si>
    <t>CUST_10281</t>
  </si>
  <si>
    <t>BOT-FNS-M</t>
  </si>
  <si>
    <t>Finish Line Pants</t>
  </si>
  <si>
    <t>UT-100283</t>
  </si>
  <si>
    <t>CUST_10282</t>
  </si>
  <si>
    <t>OUT-NYB-L</t>
  </si>
  <si>
    <t>NYE Blazer</t>
  </si>
  <si>
    <t>UT-100284</t>
  </si>
  <si>
    <t>CUST_10283</t>
  </si>
  <si>
    <t>ACC-CNT-OS</t>
  </si>
  <si>
    <t>Countdown Earrings</t>
  </si>
  <si>
    <t>UT-100285</t>
  </si>
  <si>
    <t>CUST_10284</t>
  </si>
  <si>
    <t>TOP-LST-S</t>
  </si>
  <si>
    <t>Last Dance Top</t>
  </si>
  <si>
    <t>UT-100286</t>
  </si>
  <si>
    <t>CUST_10285</t>
  </si>
  <si>
    <t>DRS-BLS-M</t>
  </si>
  <si>
    <t>Bliss Dress</t>
  </si>
  <si>
    <t>UT-100287</t>
  </si>
  <si>
    <t>CUST_10286</t>
  </si>
  <si>
    <t>BOT-END-L</t>
  </si>
  <si>
    <t>Year End Pants</t>
  </si>
  <si>
    <t>UT-100288</t>
  </si>
  <si>
    <t>CUST_10287</t>
  </si>
  <si>
    <t>OUT-CLB-M</t>
  </si>
  <si>
    <t>Celebration Blazer</t>
  </si>
  <si>
    <t>UT-100289</t>
  </si>
  <si>
    <t>CUST_10288</t>
  </si>
  <si>
    <t>ACC-FNL-OS</t>
  </si>
  <si>
    <t>Finale Necklace</t>
  </si>
  <si>
    <t>UT-100290</t>
  </si>
  <si>
    <t>CUST_10289</t>
  </si>
  <si>
    <t>TOP-PRY-M</t>
  </si>
  <si>
    <t>Party Essential Top</t>
  </si>
  <si>
    <t>UT-100291</t>
  </si>
  <si>
    <t>CUST_10290</t>
  </si>
  <si>
    <t>DRS-SHN-L</t>
  </si>
  <si>
    <t>Shine On Dress</t>
  </si>
  <si>
    <t>UT-100292</t>
  </si>
  <si>
    <t>CUST_10291</t>
  </si>
  <si>
    <t>BOT-GLD-S</t>
  </si>
  <si>
    <t>Gold Rush Pants</t>
  </si>
  <si>
    <t>UT-100293</t>
  </si>
  <si>
    <t>CUST_10292</t>
  </si>
  <si>
    <t>OUT-DZL-M</t>
  </si>
  <si>
    <t>Dazzle Jacket</t>
  </si>
  <si>
    <t>UT-100294</t>
  </si>
  <si>
    <t>CUST_10293</t>
  </si>
  <si>
    <t>ACC-GLW-OS</t>
  </si>
  <si>
    <t>Glow Bracelet</t>
  </si>
  <si>
    <t>UT-100295</t>
  </si>
  <si>
    <t>CUST_10294</t>
  </si>
  <si>
    <t>TOP-SLB-L</t>
  </si>
  <si>
    <t>Celebrate Top</t>
  </si>
  <si>
    <t>UT-100296</t>
  </si>
  <si>
    <t>CUST_10295</t>
  </si>
  <si>
    <t>DRS-RDY-S</t>
  </si>
  <si>
    <t>Ready to Party Dress</t>
  </si>
  <si>
    <t>UT-100297</t>
  </si>
  <si>
    <t>CUST_10296</t>
  </si>
  <si>
    <t>BOT-BRT-M</t>
  </si>
  <si>
    <t>Bright Night Pants</t>
  </si>
  <si>
    <t>UT-100298</t>
  </si>
  <si>
    <t>CUST_10297</t>
  </si>
  <si>
    <t>OUT-END-L</t>
  </si>
  <si>
    <t>End of Year Coat</t>
  </si>
  <si>
    <t>UT-100299</t>
  </si>
  <si>
    <t>CUST_10298</t>
  </si>
  <si>
    <t>ACC-MRY-OS</t>
  </si>
  <si>
    <t>Merry Earrings</t>
  </si>
  <si>
    <t>UT-100300</t>
  </si>
  <si>
    <t>CUST_10299</t>
  </si>
  <si>
    <t>TOP-JOY-M</t>
  </si>
  <si>
    <t>Joyful Top</t>
  </si>
  <si>
    <t>UT-100301</t>
  </si>
  <si>
    <t>CUST_10300</t>
  </si>
  <si>
    <t>DRS-WND-L</t>
  </si>
  <si>
    <t>Winter Wonder Dress</t>
  </si>
  <si>
    <t>UT-100302</t>
  </si>
  <si>
    <t>CUST_10301</t>
  </si>
  <si>
    <t>BOT-FST-S</t>
  </si>
  <si>
    <t>Festive Pants</t>
  </si>
  <si>
    <t>UT-100303</t>
  </si>
  <si>
    <t>CUST_10302</t>
  </si>
  <si>
    <t>OUT-HOL-M</t>
  </si>
  <si>
    <t>Holiday Jacket</t>
  </si>
  <si>
    <t>UT-100304</t>
  </si>
  <si>
    <t>CUST_10303</t>
  </si>
  <si>
    <t>ACC-CHR-OS</t>
  </si>
  <si>
    <t>Christmas Brooch</t>
  </si>
  <si>
    <t>UT-100305</t>
  </si>
  <si>
    <t>CUST_10304</t>
  </si>
  <si>
    <t>TOP-SNW-L</t>
  </si>
  <si>
    <t>Snow White Top</t>
  </si>
  <si>
    <t>UT-100306</t>
  </si>
  <si>
    <t>CUST_10305</t>
  </si>
  <si>
    <t>DRS-ICE-S</t>
  </si>
  <si>
    <t>Ice Queen Dress</t>
  </si>
  <si>
    <t>UT-100307</t>
  </si>
  <si>
    <t>CUST_10306</t>
  </si>
  <si>
    <t>BOT-FRZ-M</t>
  </si>
  <si>
    <t>Frozen Pants</t>
  </si>
  <si>
    <t>UT-100308</t>
  </si>
  <si>
    <t>CUST_10307</t>
  </si>
  <si>
    <t>OUT-WNT-L</t>
  </si>
  <si>
    <t>Winter Wonderland Coat</t>
  </si>
  <si>
    <t>UT-100309</t>
  </si>
  <si>
    <t>CUST_10308</t>
  </si>
  <si>
    <t>ACC-SNF-OS</t>
  </si>
  <si>
    <t>Snowflake Pendant</t>
  </si>
  <si>
    <t>UT-100310</t>
  </si>
  <si>
    <t>CUST_10309</t>
  </si>
  <si>
    <t>TOP-XMS-M</t>
  </si>
  <si>
    <t>Christmas Spirit Top</t>
  </si>
  <si>
    <t>UT-100311</t>
  </si>
  <si>
    <t>CUST_10310</t>
  </si>
  <si>
    <t>DRS-NYR-L</t>
  </si>
  <si>
    <t>New Year Ready Dress</t>
  </si>
  <si>
    <t>UT-100312</t>
  </si>
  <si>
    <t>CUST_10311</t>
  </si>
  <si>
    <t>BOT-HLD-S</t>
  </si>
  <si>
    <t>Holiday Special Pants</t>
  </si>
  <si>
    <t>UT-100313</t>
  </si>
  <si>
    <t>CUST_10312</t>
  </si>
  <si>
    <t>OUT-CEL-M</t>
  </si>
  <si>
    <t>Celebrate Blazer</t>
  </si>
  <si>
    <t>UT-100314</t>
  </si>
  <si>
    <t>CUST_10313</t>
  </si>
  <si>
    <t>ACC-WRM-OS</t>
  </si>
  <si>
    <t>Warm Wishes Scarf</t>
  </si>
  <si>
    <t>UT-100315</t>
  </si>
  <si>
    <t>CUST_10314</t>
  </si>
  <si>
    <t>TOP-FLK-L</t>
  </si>
  <si>
    <t>Snowflake Top</t>
  </si>
  <si>
    <t>UT-100316</t>
  </si>
  <si>
    <t>CUST_10315</t>
  </si>
  <si>
    <t>DRS-SPR-S</t>
  </si>
  <si>
    <t>Sparkle Season Dress</t>
  </si>
  <si>
    <t>UT-100317</t>
  </si>
  <si>
    <t>CUST_10316</t>
  </si>
  <si>
    <t>BOT-CHR-M</t>
  </si>
  <si>
    <t>Cheer Pants</t>
  </si>
  <si>
    <t>UT-100318</t>
  </si>
  <si>
    <t>CUST_10317</t>
  </si>
  <si>
    <t>OUT-XMS-L</t>
  </si>
  <si>
    <t>Christmas Coat</t>
  </si>
  <si>
    <t>UT-100319</t>
  </si>
  <si>
    <t>CUST_10318</t>
  </si>
  <si>
    <t>ACC-BEL-OS</t>
  </si>
  <si>
    <t>Bell Earrings</t>
  </si>
  <si>
    <t>UT-100320</t>
  </si>
  <si>
    <t>CUST_10319</t>
  </si>
  <si>
    <t>TOP-RDR-M</t>
  </si>
  <si>
    <t>Reindeer Top</t>
  </si>
  <si>
    <t>UT-100321</t>
  </si>
  <si>
    <t>CUST_10320</t>
  </si>
  <si>
    <t>DRS-STR-L</t>
  </si>
  <si>
    <t>Star Bright Dress</t>
  </si>
  <si>
    <t>UT-100322</t>
  </si>
  <si>
    <t>CUST_10321</t>
  </si>
  <si>
    <t>BOT-MRY-S</t>
  </si>
  <si>
    <t>Merry Leggings</t>
  </si>
  <si>
    <t>UT-100323</t>
  </si>
  <si>
    <t>CUST_10322</t>
  </si>
  <si>
    <t>OUT-JOL-M</t>
  </si>
  <si>
    <t>Jolly Jacket</t>
  </si>
  <si>
    <t>UT-100324</t>
  </si>
  <si>
    <t>CUST_10323</t>
  </si>
  <si>
    <t>ACC-GFT-OS</t>
  </si>
  <si>
    <t>Gift Box Clutch</t>
  </si>
  <si>
    <t>UT-100325</t>
  </si>
  <si>
    <t>CUST_10324</t>
  </si>
  <si>
    <t>TOP-HLY-L</t>
  </si>
  <si>
    <t>Holly Top</t>
  </si>
  <si>
    <t>UT-100326</t>
  </si>
  <si>
    <t>CUST_10325</t>
  </si>
  <si>
    <t>DRS-BOX-S</t>
  </si>
  <si>
    <t>Boxing Day Dress</t>
  </si>
  <si>
    <t>UT-100327</t>
  </si>
  <si>
    <t>CUST_10326</t>
  </si>
  <si>
    <t>BOT-SLE-M</t>
  </si>
  <si>
    <t>Sale Season Pants</t>
  </si>
  <si>
    <t>UT-100328</t>
  </si>
  <si>
    <t>CUST_10327</t>
  </si>
  <si>
    <t>OUT-SAL-L</t>
  </si>
  <si>
    <t>Sale Special Coat</t>
  </si>
  <si>
    <t>UT-100329</t>
  </si>
  <si>
    <t>CUST_10328</t>
  </si>
  <si>
    <t>ACC-DIS-OS</t>
  </si>
  <si>
    <t>Discount Find Bag</t>
  </si>
  <si>
    <t>UT-100330</t>
  </si>
  <si>
    <t>CUST_10329</t>
  </si>
  <si>
    <t>TOP-CLR-M</t>
  </si>
  <si>
    <t>Clearance Top</t>
  </si>
  <si>
    <t>UT-100331</t>
  </si>
  <si>
    <t>CUST_10330</t>
  </si>
  <si>
    <t>DRS-END-L</t>
  </si>
  <si>
    <t>Year End Dress</t>
  </si>
  <si>
    <t>UT-100332</t>
  </si>
  <si>
    <t>CUST_10331</t>
  </si>
  <si>
    <t>BOT-FNL-S</t>
  </si>
  <si>
    <t>Final Sale Pants</t>
  </si>
  <si>
    <t>UT-100333</t>
  </si>
  <si>
    <t>CUST_10332</t>
  </si>
  <si>
    <t>OUT-LST-M</t>
  </si>
  <si>
    <t>Last Chance Jacket</t>
  </si>
  <si>
    <t>UT-100334</t>
  </si>
  <si>
    <t>CUST_10333</t>
  </si>
  <si>
    <t>ACC-NWY-OS</t>
  </si>
  <si>
    <t>New Year Tiara</t>
  </si>
  <si>
    <t>UT-100335</t>
  </si>
  <si>
    <t>CUST_10334</t>
  </si>
  <si>
    <t>TOP-BYE-L</t>
  </si>
  <si>
    <t>Goodbye 2024 Top</t>
  </si>
  <si>
    <t>UT-100336</t>
  </si>
  <si>
    <t>CUST_10335</t>
  </si>
  <si>
    <t>DRS-WLC-S</t>
  </si>
  <si>
    <t>Welcome 2025 Dress</t>
  </si>
  <si>
    <t>UT-100337</t>
  </si>
  <si>
    <t>CUST_10336</t>
  </si>
  <si>
    <t>BOT-RES-M</t>
  </si>
  <si>
    <t>Resolution Pants</t>
  </si>
  <si>
    <t>UT-100338</t>
  </si>
  <si>
    <t>CUST_10337</t>
  </si>
  <si>
    <t>OUT-HOP-L</t>
  </si>
  <si>
    <t>Hope Coat</t>
  </si>
  <si>
    <t>UT-100339</t>
  </si>
  <si>
    <t>CUST_10338</t>
  </si>
  <si>
    <t>ACC-DRM-OS</t>
  </si>
  <si>
    <t>Dream Catcher Earrings</t>
  </si>
  <si>
    <t>UT-100340</t>
  </si>
  <si>
    <t>CUST_10340</t>
  </si>
  <si>
    <t>TOP-WIS-M</t>
  </si>
  <si>
    <t>Wishes Top</t>
  </si>
  <si>
    <t>UT-100341</t>
  </si>
  <si>
    <t>DRS-PRO-L</t>
  </si>
  <si>
    <t>Promise Dress</t>
  </si>
  <si>
    <t>UT-100342</t>
  </si>
  <si>
    <t>CUST_10341</t>
  </si>
  <si>
    <t>BOT-NEW-S</t>
  </si>
  <si>
    <t>New Beginning Pants</t>
  </si>
  <si>
    <t>UT-100343</t>
  </si>
  <si>
    <t>CUST_10342</t>
  </si>
  <si>
    <t>OUT-FRE-M</t>
  </si>
  <si>
    <t>Fresh Start Jacket</t>
  </si>
  <si>
    <t>UT-100344</t>
  </si>
  <si>
    <t>CUST_10343</t>
  </si>
  <si>
    <t>ACC-LCK-OS</t>
  </si>
  <si>
    <t>Lucky Charm Bracelet</t>
  </si>
  <si>
    <t>UT-100345</t>
  </si>
  <si>
    <t>CUST_10344</t>
  </si>
  <si>
    <t>TOP-BEG-L</t>
  </si>
  <si>
    <t>Begin Again Top</t>
  </si>
  <si>
    <t>UT-100346</t>
  </si>
  <si>
    <t>CUST_10345</t>
  </si>
  <si>
    <t>DRS-CNT-S</t>
  </si>
  <si>
    <t>Month</t>
  </si>
  <si>
    <t>Price After Discount</t>
  </si>
  <si>
    <t>Discount Amount</t>
  </si>
  <si>
    <t>Del Days</t>
  </si>
  <si>
    <t>Del Days Category</t>
  </si>
  <si>
    <t>Total Orders</t>
  </si>
  <si>
    <t>Total Revenue (After Discounts)</t>
  </si>
  <si>
    <t>Total Units Sold</t>
  </si>
  <si>
    <t>Overall Return Rate</t>
  </si>
  <si>
    <r>
      <t xml:space="preserve">To calculate </t>
    </r>
    <r>
      <rPr>
        <b/>
        <sz val="11"/>
        <color theme="1"/>
        <rFont val="Aptos Display"/>
        <family val="2"/>
      </rPr>
      <t>Overall Return Rate</t>
    </r>
    <r>
      <rPr>
        <sz val="11"/>
        <color theme="1"/>
        <rFont val="Aptos Display"/>
        <family val="2"/>
      </rPr>
      <t>, we need two things:</t>
    </r>
  </si>
  <si>
    <t xml:space="preserve">    1. Total Returns Initiated -&gt;</t>
  </si>
  <si>
    <t xml:space="preserve">    2. Total Delivered Orders -&gt;</t>
  </si>
  <si>
    <r>
      <rPr>
        <b/>
        <sz val="11"/>
        <color theme="1"/>
        <rFont val="Aptos Display"/>
        <family val="2"/>
      </rPr>
      <t>Overall Return Rate</t>
    </r>
    <r>
      <rPr>
        <sz val="11"/>
        <color theme="1"/>
        <rFont val="Aptos Display"/>
        <family val="2"/>
      </rPr>
      <t xml:space="preserve"> = Total Returns Initiated / Total Delivered Orders</t>
    </r>
  </si>
  <si>
    <t xml:space="preserve"> --&gt; Breakdown --&gt;</t>
  </si>
  <si>
    <t>Row Labels</t>
  </si>
  <si>
    <t>October</t>
  </si>
  <si>
    <t>November</t>
  </si>
  <si>
    <t>December</t>
  </si>
  <si>
    <t>Grand Total</t>
  </si>
  <si>
    <t>Count of Customer ID</t>
  </si>
  <si>
    <t>Column Labels</t>
  </si>
  <si>
    <t>Orders By Month :</t>
  </si>
  <si>
    <t>Monthly Orders by Customer Type (New vs Returning) :</t>
  </si>
  <si>
    <t>Sum of Price After Discount</t>
  </si>
  <si>
    <t>Monthly Revenue by Customer Type (New vs Returning) :</t>
  </si>
  <si>
    <t>Week</t>
  </si>
  <si>
    <t>AOV</t>
  </si>
  <si>
    <t>Monthly Avg Discount(%) by Customer Type (New vs Returning) :</t>
  </si>
  <si>
    <t>Average of Discount(%)</t>
  </si>
  <si>
    <t>Descriptive Analysis :</t>
  </si>
  <si>
    <t>🔑 Key Insights :</t>
  </si>
  <si>
    <r>
      <rPr>
        <sz val="11"/>
        <color theme="1"/>
        <rFont val="Aptos Display"/>
        <family val="2"/>
      </rPr>
      <t xml:space="preserve">1. </t>
    </r>
    <r>
      <rPr>
        <b/>
        <sz val="11"/>
        <color theme="1"/>
        <rFont val="Aptos Display"/>
        <family val="2"/>
      </rPr>
      <t>New customers dominate orders</t>
    </r>
    <r>
      <rPr>
        <sz val="11"/>
        <color theme="1"/>
        <rFont val="Aptos Display"/>
        <family val="2"/>
      </rPr>
      <t xml:space="preserve">: Out of </t>
    </r>
    <r>
      <rPr>
        <b/>
        <sz val="11"/>
        <color theme="1"/>
        <rFont val="Aptos Display"/>
        <family val="2"/>
      </rPr>
      <t>346 total orders</t>
    </r>
    <r>
      <rPr>
        <sz val="11"/>
        <color theme="1"/>
        <rFont val="Aptos Display"/>
        <family val="2"/>
      </rPr>
      <t xml:space="preserve">, </t>
    </r>
    <r>
      <rPr>
        <b/>
        <sz val="11"/>
        <color theme="1"/>
        <rFont val="Aptos Display"/>
        <family val="2"/>
      </rPr>
      <t>270 (78%)</t>
    </r>
    <r>
      <rPr>
        <sz val="11"/>
        <color theme="1"/>
        <rFont val="Aptos Display"/>
        <family val="2"/>
      </rPr>
      <t xml:space="preserve"> came from new customers, while returning customers contributed </t>
    </r>
    <r>
      <rPr>
        <b/>
        <sz val="11"/>
        <color theme="1"/>
        <rFont val="Aptos Display"/>
        <family val="2"/>
      </rPr>
      <t>76 (22%)</t>
    </r>
    <r>
      <rPr>
        <sz val="11"/>
        <color theme="1"/>
        <rFont val="Aptos Display"/>
        <family val="2"/>
      </rPr>
      <t xml:space="preserve"> only.</t>
    </r>
  </si>
  <si>
    <r>
      <rPr>
        <sz val="11"/>
        <color theme="1"/>
        <rFont val="Aptos Display"/>
        <family val="2"/>
      </rPr>
      <t xml:space="preserve">2. </t>
    </r>
    <r>
      <rPr>
        <b/>
        <sz val="11"/>
        <color theme="1"/>
        <rFont val="Aptos Display"/>
        <family val="2"/>
      </rPr>
      <t>Revenue is driven by new customers</t>
    </r>
    <r>
      <rPr>
        <sz val="11"/>
        <color theme="1"/>
        <rFont val="Aptos Display"/>
        <family val="2"/>
      </rPr>
      <t xml:space="preserve">: New customers generated </t>
    </r>
    <r>
      <rPr>
        <b/>
        <sz val="11"/>
        <color theme="1"/>
        <rFont val="Aptos Display"/>
        <family val="2"/>
      </rPr>
      <t>₹7.73L (77%)</t>
    </r>
    <r>
      <rPr>
        <sz val="11"/>
        <color theme="1"/>
        <rFont val="Aptos Display"/>
        <family val="2"/>
      </rPr>
      <t xml:space="preserve"> of total revenue, compared to </t>
    </r>
    <r>
      <rPr>
        <b/>
        <sz val="11"/>
        <color theme="1"/>
        <rFont val="Aptos Display"/>
        <family val="2"/>
      </rPr>
      <t>₹2.29L (23%)</t>
    </r>
    <r>
      <rPr>
        <sz val="11"/>
        <color theme="1"/>
        <rFont val="Aptos Display"/>
        <family val="2"/>
      </rPr>
      <t xml:space="preserve"> from returning customers.</t>
    </r>
  </si>
  <si>
    <r>
      <rPr>
        <sz val="11"/>
        <color theme="1"/>
        <rFont val="Aptos Display"/>
        <family val="2"/>
      </rPr>
      <t xml:space="preserve">3. </t>
    </r>
    <r>
      <rPr>
        <b/>
        <sz val="11"/>
        <color theme="1"/>
        <rFont val="Aptos Display"/>
        <family val="2"/>
      </rPr>
      <t>December performed best</t>
    </r>
    <r>
      <rPr>
        <sz val="11"/>
        <color theme="1"/>
        <rFont val="Aptos Display"/>
        <family val="2"/>
      </rPr>
      <t xml:space="preserve">: December recorded the </t>
    </r>
    <r>
      <rPr>
        <b/>
        <sz val="11"/>
        <color theme="1"/>
        <rFont val="Aptos Display"/>
        <family val="2"/>
      </rPr>
      <t>highest revenue of ₹3.70L</t>
    </r>
    <r>
      <rPr>
        <sz val="11"/>
        <color theme="1"/>
        <rFont val="Aptos Display"/>
        <family val="2"/>
      </rPr>
      <t xml:space="preserve">, mainly driven by </t>
    </r>
    <r>
      <rPr>
        <b/>
        <sz val="11"/>
        <color theme="1"/>
        <rFont val="Aptos Display"/>
        <family val="2"/>
      </rPr>
      <t>₹2.99L from new customers</t>
    </r>
    <r>
      <rPr>
        <sz val="11"/>
        <color theme="1"/>
        <rFont val="Aptos Display"/>
        <family val="2"/>
      </rPr>
      <t>.</t>
    </r>
  </si>
  <si>
    <r>
      <rPr>
        <sz val="11"/>
        <color theme="1"/>
        <rFont val="Aptos Display"/>
        <family val="2"/>
      </rPr>
      <t xml:space="preserve">5. </t>
    </r>
    <r>
      <rPr>
        <b/>
        <sz val="11"/>
        <color theme="1"/>
        <rFont val="Aptos Display"/>
        <family val="2"/>
      </rPr>
      <t>Discounts dropped in December</t>
    </r>
    <r>
      <rPr>
        <sz val="11"/>
        <color theme="1"/>
        <rFont val="Aptos Display"/>
        <family val="2"/>
      </rPr>
      <t xml:space="preserve">: Average discounts fell to </t>
    </r>
    <r>
      <rPr>
        <b/>
        <sz val="11"/>
        <color theme="1"/>
        <rFont val="Aptos Display"/>
        <family val="2"/>
      </rPr>
      <t>7.44%</t>
    </r>
    <r>
      <rPr>
        <sz val="11"/>
        <color theme="1"/>
        <rFont val="Aptos Display"/>
        <family val="2"/>
      </rPr>
      <t xml:space="preserve">, which still resulted in the </t>
    </r>
    <r>
      <rPr>
        <b/>
        <sz val="11"/>
        <color theme="1"/>
        <rFont val="Aptos Display"/>
        <family val="2"/>
      </rPr>
      <t>highest monthly revenue</t>
    </r>
    <r>
      <rPr>
        <sz val="11"/>
        <color theme="1"/>
        <rFont val="Aptos Display"/>
        <family val="2"/>
      </rPr>
      <t>, indicating strong demand.</t>
    </r>
  </si>
  <si>
    <r>
      <t xml:space="preserve">4. </t>
    </r>
    <r>
      <rPr>
        <b/>
        <sz val="11"/>
        <color theme="1"/>
        <rFont val="Aptos Display"/>
        <family val="2"/>
      </rPr>
      <t>New customers receive higher discounts</t>
    </r>
    <r>
      <rPr>
        <sz val="11"/>
        <color theme="1"/>
        <rFont val="Aptos Display"/>
        <family val="2"/>
      </rPr>
      <t xml:space="preserve">: On average, new customers received a </t>
    </r>
    <r>
      <rPr>
        <b/>
        <sz val="11"/>
        <color theme="1"/>
        <rFont val="Aptos Display"/>
        <family val="2"/>
      </rPr>
      <t>9.81% discount</t>
    </r>
    <r>
      <rPr>
        <sz val="11"/>
        <color theme="1"/>
        <rFont val="Aptos Display"/>
        <family val="2"/>
      </rPr>
      <t xml:space="preserve">, slightly higher than </t>
    </r>
    <r>
      <rPr>
        <b/>
        <sz val="11"/>
        <color theme="1"/>
        <rFont val="Aptos Display"/>
        <family val="2"/>
      </rPr>
      <t>9.47% for returning customers</t>
    </r>
    <r>
      <rPr>
        <sz val="11"/>
        <color theme="1"/>
        <rFont val="Aptos Display"/>
        <family val="2"/>
      </rPr>
      <t>, indicating stronger discount incentives to acquire new customers rather than retain existing ones.</t>
    </r>
  </si>
  <si>
    <t xml:space="preserve">📊 Overall Summary : </t>
  </si>
  <si>
    <r>
      <t xml:space="preserve">The analysis shows that the business mainly depends on </t>
    </r>
    <r>
      <rPr>
        <b/>
        <sz val="11"/>
        <color theme="1"/>
        <rFont val="Aptos Display"/>
        <family val="2"/>
      </rPr>
      <t>new customers</t>
    </r>
    <r>
      <rPr>
        <sz val="11"/>
        <color theme="1"/>
        <rFont val="Aptos Display"/>
        <family val="2"/>
      </rPr>
      <t xml:space="preserve">, who contribute </t>
    </r>
    <r>
      <rPr>
        <b/>
        <sz val="11"/>
        <color theme="1"/>
        <rFont val="Aptos Display"/>
        <family val="2"/>
      </rPr>
      <t xml:space="preserve">78% of total orders </t>
    </r>
    <r>
      <rPr>
        <sz val="11"/>
        <color theme="1"/>
        <rFont val="Aptos Display"/>
        <family val="2"/>
      </rPr>
      <t xml:space="preserve">and </t>
    </r>
    <r>
      <rPr>
        <b/>
        <sz val="11"/>
        <color theme="1"/>
        <rFont val="Aptos Display"/>
        <family val="2"/>
      </rPr>
      <t>77% of total revenue</t>
    </r>
    <r>
      <rPr>
        <sz val="11"/>
        <color theme="1"/>
        <rFont val="Aptos Display"/>
        <family val="2"/>
      </rPr>
      <t xml:space="preserve">. </t>
    </r>
    <r>
      <rPr>
        <b/>
        <sz val="11"/>
        <color theme="1"/>
        <rFont val="Aptos Display"/>
        <family val="2"/>
      </rPr>
      <t>December performed the best</t>
    </r>
    <r>
      <rPr>
        <sz val="11"/>
        <color theme="1"/>
        <rFont val="Aptos Display"/>
        <family val="2"/>
      </rPr>
      <t xml:space="preserve">, with the highest revenue even though discounts were lower, indicating strong customer demand. </t>
    </r>
    <r>
      <rPr>
        <b/>
        <sz val="11"/>
        <color theme="1"/>
        <rFont val="Aptos Display"/>
        <family val="2"/>
      </rPr>
      <t xml:space="preserve">New customers receive slightly higher discounts </t>
    </r>
    <r>
      <rPr>
        <sz val="11"/>
        <color theme="1"/>
        <rFont val="Aptos Display"/>
        <family val="2"/>
      </rPr>
      <t xml:space="preserve">than returning customers, showing a focus on acquisition rather than retention. Since returning customers contribute only </t>
    </r>
    <r>
      <rPr>
        <b/>
        <sz val="11"/>
        <color theme="1"/>
        <rFont val="Aptos Display"/>
        <family val="2"/>
      </rPr>
      <t>22% of orders</t>
    </r>
    <r>
      <rPr>
        <sz val="11"/>
        <color theme="1"/>
        <rFont val="Aptos Display"/>
        <family val="2"/>
      </rPr>
      <t>, improving customer retention could help drive more stable future growth.</t>
    </r>
  </si>
  <si>
    <t>Trend Indentification :</t>
  </si>
  <si>
    <t>Count of Order ID</t>
  </si>
  <si>
    <t>Week Start Date</t>
  </si>
  <si>
    <t>Weekday</t>
  </si>
  <si>
    <t>WeekDay2</t>
  </si>
  <si>
    <t>Delivered Flag</t>
  </si>
  <si>
    <t>Return Flag</t>
  </si>
  <si>
    <t>Delievered</t>
  </si>
  <si>
    <t>02-12-2024</t>
  </si>
  <si>
    <t>04-11-2024</t>
  </si>
  <si>
    <t>07-10-2024</t>
  </si>
  <si>
    <t>09-12-2024</t>
  </si>
  <si>
    <t>11-11-2024</t>
  </si>
  <si>
    <t>14-10-2024</t>
  </si>
  <si>
    <t>16-12-2024</t>
  </si>
  <si>
    <t>18-11-2024</t>
  </si>
  <si>
    <t>21-10-2024</t>
  </si>
  <si>
    <t>23-12-2024</t>
  </si>
  <si>
    <t>25-11-2024</t>
  </si>
  <si>
    <t>28-10-2024</t>
  </si>
  <si>
    <t>30-09-2024</t>
  </si>
  <si>
    <t>30-12-2024</t>
  </si>
  <si>
    <t>Sum of Delivered Flag</t>
  </si>
  <si>
    <t>Sum of Return Flag</t>
  </si>
  <si>
    <t>Weekly Return Rate</t>
  </si>
  <si>
    <t>Order Volume</t>
  </si>
  <si>
    <t>Return Rate</t>
  </si>
  <si>
    <r>
      <t xml:space="preserve">1. A clear spike in order volume is observed during the </t>
    </r>
    <r>
      <rPr>
        <b/>
        <sz val="11"/>
        <color theme="1"/>
        <rFont val="Aptos Display"/>
        <family val="2"/>
      </rPr>
      <t>Diwali week (28 Oct – 3 Nov)</t>
    </r>
    <r>
      <rPr>
        <sz val="11"/>
        <color theme="1"/>
        <rFont val="Aptos Display"/>
        <family val="2"/>
      </rPr>
      <t>, marking the highest weekly orders in Q4.</t>
    </r>
  </si>
  <si>
    <t>2. This confirms strong customer response to festive promotions and increased marketing activity during this period.</t>
  </si>
  <si>
    <r>
      <t xml:space="preserve">1. Return rates do </t>
    </r>
    <r>
      <rPr>
        <b/>
        <sz val="11"/>
        <color theme="1"/>
        <rFont val="Aptos Display"/>
        <family val="2"/>
      </rPr>
      <t>not peak in the same week</t>
    </r>
    <r>
      <rPr>
        <sz val="11"/>
        <color theme="1"/>
        <rFont val="Aptos Display"/>
        <family val="2"/>
      </rPr>
      <t xml:space="preserve"> as order volume.</t>
    </r>
  </si>
  <si>
    <r>
      <t xml:space="preserve">2. Instead, return rates rise </t>
    </r>
    <r>
      <rPr>
        <b/>
        <sz val="11"/>
        <color theme="1"/>
        <rFont val="Aptos Display"/>
        <family val="2"/>
      </rPr>
      <t>2–3 weeks after the Diwali order spike</t>
    </r>
    <r>
      <rPr>
        <sz val="11"/>
        <color theme="1"/>
        <rFont val="Aptos Display"/>
        <family val="2"/>
      </rPr>
      <t>, which aligns with delivery timelines and the 30-day return window.</t>
    </r>
  </si>
  <si>
    <t>3. This indicates that returns are a lagging outcome of high-volume sales rather than an immediate effect.</t>
  </si>
  <si>
    <t>Average Discount Percentage</t>
  </si>
  <si>
    <t>1. Higher average discounts are observed during high-volume weeks around Diwali.</t>
  </si>
  <si>
    <r>
      <t xml:space="preserve">2. Weeks with heavier discounting are followed by </t>
    </r>
    <r>
      <rPr>
        <b/>
        <sz val="11"/>
        <color theme="1"/>
        <rFont val="Aptos Display"/>
        <family val="2"/>
      </rPr>
      <t>higher return rates</t>
    </r>
    <r>
      <rPr>
        <sz val="11"/>
        <color theme="1"/>
        <rFont val="Aptos Display"/>
        <family val="2"/>
      </rPr>
      <t>, suggesting that deep discounts may attract impulse or low-intent purchases.</t>
    </r>
  </si>
  <si>
    <t>Key Questions :</t>
  </si>
  <si>
    <t>Q1. Was there a noticeable spike during Diwali week (Oct 28 - Nov 3)?</t>
  </si>
  <si>
    <t>Yes, very clearly.</t>
  </si>
  <si>
    <r>
      <t xml:space="preserve">• The week starting </t>
    </r>
    <r>
      <rPr>
        <b/>
        <sz val="11"/>
        <color theme="1"/>
        <rFont val="Aptos Display"/>
        <family val="2"/>
      </rPr>
      <t>28-Oct-2024 (Diwali week)</t>
    </r>
    <r>
      <rPr>
        <sz val="11"/>
        <color theme="1"/>
        <rFont val="Aptos Display"/>
        <family val="2"/>
      </rPr>
      <t xml:space="preserve"> recorded </t>
    </r>
    <r>
      <rPr>
        <b/>
        <sz val="11"/>
        <color theme="1"/>
        <rFont val="Aptos Display"/>
        <family val="2"/>
      </rPr>
      <t>33 orders</t>
    </r>
    <r>
      <rPr>
        <sz val="11"/>
        <color theme="1"/>
        <rFont val="Aptos Display"/>
        <family val="2"/>
      </rPr>
      <t xml:space="preserve">, which is the </t>
    </r>
    <r>
      <rPr>
        <b/>
        <sz val="11"/>
        <color theme="1"/>
        <rFont val="Aptos Display"/>
        <family val="2"/>
      </rPr>
      <t>highest weekly order volume</t>
    </r>
    <r>
      <rPr>
        <sz val="11"/>
        <color theme="1"/>
        <rFont val="Aptos Display"/>
        <family val="2"/>
      </rPr>
      <t xml:space="preserve"> in the entire period.</t>
    </r>
  </si>
  <si>
    <r>
      <t xml:space="preserve">• Most other weeks ranged between </t>
    </r>
    <r>
      <rPr>
        <b/>
        <sz val="11"/>
        <color theme="1"/>
        <rFont val="Aptos Display"/>
        <family val="2"/>
      </rPr>
      <t>21–28 orders</t>
    </r>
    <r>
      <rPr>
        <sz val="11"/>
        <color theme="1"/>
        <rFont val="Aptos Display"/>
        <family val="2"/>
      </rPr>
      <t xml:space="preserve">, making the Diwali week </t>
    </r>
    <r>
      <rPr>
        <b/>
        <sz val="11"/>
        <color theme="1"/>
        <rFont val="Aptos Display"/>
        <family val="2"/>
      </rPr>
      <t>~18–25% higher</t>
    </r>
    <r>
      <rPr>
        <sz val="11"/>
        <color theme="1"/>
        <rFont val="Aptos Display"/>
        <family val="2"/>
      </rPr>
      <t xml:space="preserve"> than average weeks.</t>
    </r>
  </si>
  <si>
    <t>• This confirms a strong sales spike driven by Diwali promotions.</t>
  </si>
  <si>
    <t>Q2. Did return rates lag behind order spikes by 2–3 weeks?</t>
  </si>
  <si>
    <t>Yes, returns increased after the spike, not immediately.</t>
  </si>
  <si>
    <t>1. During the Diwali week (28-Oct-2024):</t>
  </si>
  <si>
    <r>
      <t xml:space="preserve">• Orders = </t>
    </r>
    <r>
      <rPr>
        <b/>
        <sz val="11"/>
        <color theme="1"/>
        <rFont val="Aptos Display"/>
        <family val="2"/>
      </rPr>
      <t>33</t>
    </r>
  </si>
  <si>
    <r>
      <t xml:space="preserve">• Return rate = </t>
    </r>
    <r>
      <rPr>
        <b/>
        <sz val="11"/>
        <color theme="1"/>
        <rFont val="Aptos Display"/>
        <family val="2"/>
      </rPr>
      <t>77.42%</t>
    </r>
  </si>
  <si>
    <t>2. High return rates continued in later weeks:</t>
  </si>
  <si>
    <r>
      <t>• 25-Nov-2024:</t>
    </r>
    <r>
      <rPr>
        <sz val="11"/>
        <color theme="1"/>
        <rFont val="Aptos Display"/>
        <family val="2"/>
      </rPr>
      <t xml:space="preserve"> Return rate </t>
    </r>
    <r>
      <rPr>
        <b/>
        <sz val="11"/>
        <color theme="1"/>
        <rFont val="Aptos Display"/>
        <family val="2"/>
      </rPr>
      <t>61.90%</t>
    </r>
  </si>
  <si>
    <r>
      <t>• 23-Dec-2024:</t>
    </r>
    <r>
      <rPr>
        <sz val="11"/>
        <color theme="1"/>
        <rFont val="Aptos Display"/>
        <family val="2"/>
      </rPr>
      <t xml:space="preserve"> Return rate </t>
    </r>
    <r>
      <rPr>
        <b/>
        <sz val="11"/>
        <color theme="1"/>
        <rFont val="Aptos Display"/>
        <family val="2"/>
      </rPr>
      <t>60.71%</t>
    </r>
  </si>
  <si>
    <r>
      <t xml:space="preserve">3. This shows that elevated return rates persisted </t>
    </r>
    <r>
      <rPr>
        <b/>
        <sz val="11"/>
        <color theme="1"/>
        <rFont val="Aptos Display"/>
        <family val="2"/>
      </rPr>
      <t>2–3 weeks after the order spike</t>
    </r>
    <r>
      <rPr>
        <sz val="11"/>
        <color theme="1"/>
        <rFont val="Aptos Display"/>
        <family val="2"/>
      </rPr>
      <t>, which matches delivery and return timelines.</t>
    </r>
  </si>
  <si>
    <t>Q3. Did heavy discounting correlate with higher return rates?</t>
  </si>
  <si>
    <t>Yes, higher discounts are strongly linked to higher returns.</t>
  </si>
  <si>
    <t>1. Diwali week had:</t>
  </si>
  <si>
    <r>
      <t>• Highest discount levels</t>
    </r>
    <r>
      <rPr>
        <sz val="11"/>
        <color theme="1"/>
        <rFont val="Aptos Display"/>
        <family val="2"/>
      </rPr>
      <t xml:space="preserve"> (as seen in analysis)</t>
    </r>
  </si>
  <si>
    <t>• Highest return rate: 77.42%</t>
  </si>
  <si>
    <t>2. In comparison:</t>
  </si>
  <si>
    <r>
      <t xml:space="preserve">• Weeks with moderate order volumes (21–28 orders) had lower return rates, mostly between </t>
    </r>
    <r>
      <rPr>
        <b/>
        <sz val="11"/>
        <color theme="1"/>
        <rFont val="Aptos Display"/>
        <family val="2"/>
      </rPr>
      <t>40%–55%</t>
    </r>
  </si>
  <si>
    <r>
      <t xml:space="preserve">3. This indicates that </t>
    </r>
    <r>
      <rPr>
        <b/>
        <sz val="11"/>
        <color theme="1"/>
        <rFont val="Aptos Display"/>
        <family val="2"/>
      </rPr>
      <t>aggressive discounting during promotions likely encouraged impulse buying</t>
    </r>
    <r>
      <rPr>
        <sz val="11"/>
        <color theme="1"/>
        <rFont val="Aptos Display"/>
        <family val="2"/>
      </rPr>
      <t>, leading to more returns later.</t>
    </r>
  </si>
  <si>
    <r>
      <t xml:space="preserve">Weekly trend analysis shows a clear sales spike during the Diwali week starting </t>
    </r>
    <r>
      <rPr>
        <b/>
        <sz val="11"/>
        <color theme="1"/>
        <rFont val="Aptos Display"/>
        <family val="2"/>
      </rPr>
      <t>28 October 2024</t>
    </r>
    <r>
      <rPr>
        <sz val="11"/>
        <color theme="1"/>
        <rFont val="Aptos Display"/>
        <family val="2"/>
      </rPr>
      <t xml:space="preserve">, which recorded </t>
    </r>
    <r>
      <rPr>
        <b/>
        <sz val="11"/>
        <color theme="1"/>
        <rFont val="Aptos Display"/>
        <family val="2"/>
      </rPr>
      <t>33 orders</t>
    </r>
    <r>
      <rPr>
        <sz val="11"/>
        <color theme="1"/>
        <rFont val="Aptos Display"/>
        <family val="2"/>
      </rPr>
      <t xml:space="preserve">, the highest weekly volume in the period compared to the usual </t>
    </r>
    <r>
      <rPr>
        <b/>
        <sz val="11"/>
        <color theme="1"/>
        <rFont val="Aptos Display"/>
        <family val="2"/>
      </rPr>
      <t>21–28 orders</t>
    </r>
    <r>
      <rPr>
        <sz val="11"/>
        <color theme="1"/>
        <rFont val="Aptos Display"/>
        <family val="2"/>
      </rPr>
      <t xml:space="preserve"> in other weeks. Return rates did not peak immediately but increased </t>
    </r>
    <r>
      <rPr>
        <b/>
        <sz val="11"/>
        <color theme="1"/>
        <rFont val="Aptos Display"/>
        <family val="2"/>
      </rPr>
      <t>2–3 weeks after</t>
    </r>
    <r>
      <rPr>
        <sz val="11"/>
        <color theme="1"/>
        <rFont val="Aptos Display"/>
        <family val="2"/>
      </rPr>
      <t xml:space="preserve"> the sales spike, reaching </t>
    </r>
    <r>
      <rPr>
        <b/>
        <sz val="11"/>
        <color theme="1"/>
        <rFont val="Aptos Display"/>
        <family val="2"/>
      </rPr>
      <t>61.9% on 25 November</t>
    </r>
    <r>
      <rPr>
        <sz val="11"/>
        <color theme="1"/>
        <rFont val="Aptos Display"/>
        <family val="2"/>
      </rPr>
      <t xml:space="preserve"> and </t>
    </r>
    <r>
      <rPr>
        <b/>
        <sz val="11"/>
        <color theme="1"/>
        <rFont val="Aptos Display"/>
        <family val="2"/>
      </rPr>
      <t>60.7% on 23 December</t>
    </r>
    <r>
      <rPr>
        <sz val="11"/>
        <color theme="1"/>
        <rFont val="Aptos Display"/>
        <family val="2"/>
      </rPr>
      <t xml:space="preserve">, which aligns with delivery and return timelines. The Diwali week also showed the </t>
    </r>
    <r>
      <rPr>
        <b/>
        <sz val="11"/>
        <color theme="1"/>
        <rFont val="Aptos Display"/>
        <family val="2"/>
      </rPr>
      <t>highest return rate of 77.4%</t>
    </r>
    <r>
      <rPr>
        <sz val="11"/>
        <color theme="1"/>
        <rFont val="Aptos Display"/>
        <family val="2"/>
      </rPr>
      <t>, indicating that heavy festive discounting likely drove impulse purchases. Overall, the data suggests that while promotions significantly boost order volume, they also lead to higher returns after a short delay, highlighting the need to balance aggressive discounting with better product information and sizing to reduce post-purchase returns.</t>
    </r>
  </si>
  <si>
    <t>Segmentation Analysis :</t>
  </si>
  <si>
    <t>Average of Price After Discount</t>
  </si>
  <si>
    <t>Customer Type</t>
  </si>
  <si>
    <r>
      <rPr>
        <b/>
        <sz val="11"/>
        <color theme="1"/>
        <rFont val="Aptos Display"/>
        <family val="2"/>
      </rPr>
      <t>New customers have a significantly higher return rate (58.1%)</t>
    </r>
    <r>
      <rPr>
        <sz val="11"/>
        <color theme="1"/>
        <rFont val="Aptos Display"/>
        <family val="2"/>
      </rPr>
      <t xml:space="preserve"> compared to </t>
    </r>
    <r>
      <rPr>
        <b/>
        <sz val="11"/>
        <color theme="1"/>
        <rFont val="Aptos Display"/>
        <family val="2"/>
      </rPr>
      <t>returning customers (44.0%)</t>
    </r>
    <r>
      <rPr>
        <sz val="11"/>
        <color theme="1"/>
        <rFont val="Aptos Display"/>
        <family val="2"/>
      </rPr>
      <t>, indicating lower purchase confidence and higher post-purchase dissatisfaction among first-time buyers.</t>
    </r>
  </si>
  <si>
    <r>
      <rPr>
        <b/>
        <sz val="11"/>
        <color theme="1"/>
        <rFont val="Aptos Display"/>
        <family val="2"/>
      </rPr>
      <t>Instagram Shop has the highest return rate at 67.6%</t>
    </r>
    <r>
      <rPr>
        <sz val="11"/>
        <color theme="1"/>
        <rFont val="Aptos Display"/>
        <family val="2"/>
      </rPr>
      <t xml:space="preserve">, followed by the </t>
    </r>
    <r>
      <rPr>
        <b/>
        <sz val="11"/>
        <color theme="1"/>
        <rFont val="Aptos Display"/>
        <family val="2"/>
      </rPr>
      <t>Mobile App at 56.5%</t>
    </r>
    <r>
      <rPr>
        <sz val="11"/>
        <color theme="1"/>
        <rFont val="Aptos Display"/>
        <family val="2"/>
      </rPr>
      <t xml:space="preserve">, while the </t>
    </r>
    <r>
      <rPr>
        <b/>
        <sz val="11"/>
        <color theme="1"/>
        <rFont val="Aptos Display"/>
        <family val="2"/>
      </rPr>
      <t>Website performs best with the lowest return rate of 41.7%</t>
    </r>
    <r>
      <rPr>
        <sz val="11"/>
        <color theme="1"/>
        <rFont val="Aptos Display"/>
        <family val="2"/>
      </rPr>
      <t>, indicating more reliable and higher-intent purchases on the Website.</t>
    </r>
  </si>
  <si>
    <t xml:space="preserve">Customer Type </t>
  </si>
  <si>
    <t>Order Source</t>
  </si>
  <si>
    <t>Payment Method</t>
  </si>
  <si>
    <t>Method</t>
  </si>
  <si>
    <r>
      <rPr>
        <b/>
        <sz val="11"/>
        <color theme="1"/>
        <rFont val="Aptos Display"/>
        <family val="2"/>
      </rPr>
      <t>COD orders have the highest return rate at 82.6%</t>
    </r>
    <r>
      <rPr>
        <sz val="11"/>
        <color theme="1"/>
        <rFont val="Aptos Display"/>
        <family val="2"/>
      </rPr>
      <t xml:space="preserve">, followed by </t>
    </r>
    <r>
      <rPr>
        <b/>
        <sz val="11"/>
        <color theme="1"/>
        <rFont val="Aptos Display"/>
        <family val="2"/>
      </rPr>
      <t>Debit Card at 71.7%</t>
    </r>
    <r>
      <rPr>
        <sz val="11"/>
        <color theme="1"/>
        <rFont val="Aptos Display"/>
        <family val="2"/>
      </rPr>
      <t xml:space="preserve">, while </t>
    </r>
    <r>
      <rPr>
        <b/>
        <sz val="11"/>
        <color theme="1"/>
        <rFont val="Aptos Display"/>
        <family val="2"/>
      </rPr>
      <t xml:space="preserve">UPI (42.7%) </t>
    </r>
    <r>
      <rPr>
        <sz val="11"/>
        <color theme="1"/>
        <rFont val="Aptos Display"/>
        <family val="2"/>
      </rPr>
      <t xml:space="preserve">and </t>
    </r>
    <r>
      <rPr>
        <b/>
        <sz val="11"/>
        <color theme="1"/>
        <rFont val="Aptos Display"/>
        <family val="2"/>
      </rPr>
      <t xml:space="preserve">Wallet (30.8%) </t>
    </r>
    <r>
      <rPr>
        <sz val="11"/>
        <color theme="1"/>
        <rFont val="Aptos Display"/>
        <family val="2"/>
      </rPr>
      <t>perform significantly better, showing that prepaid digital payments lead to more reliable and lower-return orders.</t>
    </r>
  </si>
  <si>
    <t>Product Category</t>
  </si>
  <si>
    <r>
      <rPr>
        <b/>
        <sz val="11"/>
        <color theme="1"/>
        <rFont val="Aptos Display"/>
        <family val="2"/>
      </rPr>
      <t>Outerwear has the highest return rate at 80.0%</t>
    </r>
    <r>
      <rPr>
        <sz val="11"/>
        <color theme="1"/>
        <rFont val="Aptos Display"/>
        <family val="2"/>
      </rPr>
      <t xml:space="preserve">, followed by </t>
    </r>
    <r>
      <rPr>
        <b/>
        <sz val="11"/>
        <color theme="1"/>
        <rFont val="Aptos Display"/>
        <family val="2"/>
      </rPr>
      <t xml:space="preserve">Dresses at 66.7% </t>
    </r>
    <r>
      <rPr>
        <sz val="11"/>
        <color theme="1"/>
        <rFont val="Aptos Display"/>
        <family val="2"/>
      </rPr>
      <t xml:space="preserve">and </t>
    </r>
    <r>
      <rPr>
        <b/>
        <sz val="11"/>
        <color theme="1"/>
        <rFont val="Aptos Display"/>
        <family val="2"/>
      </rPr>
      <t>Tops at 64.2%</t>
    </r>
    <r>
      <rPr>
        <sz val="11"/>
        <color theme="1"/>
        <rFont val="Aptos Display"/>
        <family val="2"/>
      </rPr>
      <t xml:space="preserve">, while </t>
    </r>
    <r>
      <rPr>
        <b/>
        <sz val="11"/>
        <color theme="1"/>
        <rFont val="Aptos Display"/>
        <family val="2"/>
      </rPr>
      <t>Accessories perform best with a much lower return rate of 24.6%</t>
    </r>
    <r>
      <rPr>
        <sz val="11"/>
        <color theme="1"/>
        <rFont val="Aptos Display"/>
        <family val="2"/>
      </rPr>
      <t>, showing that fit-sensitive categories drive most returns.</t>
    </r>
  </si>
  <si>
    <r>
      <t xml:space="preserve">Returns are highest among </t>
    </r>
    <r>
      <rPr>
        <b/>
        <sz val="11"/>
        <color theme="1"/>
        <rFont val="Aptos Display"/>
        <family val="2"/>
      </rPr>
      <t>new customers, Instagram orders, COD payments, and fit-sensitive categories like Outerwear</t>
    </r>
    <r>
      <rPr>
        <sz val="11"/>
        <color theme="1"/>
        <rFont val="Aptos Display"/>
        <family val="2"/>
      </rPr>
      <t xml:space="preserve">, while </t>
    </r>
    <r>
      <rPr>
        <b/>
        <sz val="11"/>
        <color theme="1"/>
        <rFont val="Aptos Display"/>
        <family val="2"/>
      </rPr>
      <t>returning customers, website orders, prepaid payments, and accessories</t>
    </r>
    <r>
      <rPr>
        <sz val="11"/>
        <color theme="1"/>
        <rFont val="Aptos Display"/>
        <family val="2"/>
      </rPr>
      <t xml:space="preserve"> deliver more stable and lower-return sales.</t>
    </r>
  </si>
  <si>
    <t>Gross Merchandise Value (GMV)</t>
  </si>
  <si>
    <t>KPI Calculation :</t>
  </si>
  <si>
    <t>Net Revenue</t>
  </si>
  <si>
    <t>RTO Rate</t>
  </si>
  <si>
    <t>KPI</t>
  </si>
  <si>
    <t>Definition</t>
  </si>
  <si>
    <t>Calculation</t>
  </si>
  <si>
    <t>Total order value before discounts</t>
  </si>
  <si>
    <t>GMV minus total discounts</t>
  </si>
  <si>
    <t>Proportion of delivered orders with return initiated</t>
  </si>
  <si>
    <t>Share of orders marked as Return to Origin</t>
  </si>
  <si>
    <t>Refund Processing Rate</t>
  </si>
  <si>
    <t>Percentage of refunds successfully processed</t>
  </si>
  <si>
    <t>First-Time Buyer Return Rate</t>
  </si>
  <si>
    <t>Return rate among new customers</t>
  </si>
  <si>
    <t>Repeat Buyer Return Rate</t>
  </si>
  <si>
    <t>Return rate among returning customers</t>
  </si>
  <si>
    <t>Fulfillment Split</t>
  </si>
  <si>
    <t>Share(%)</t>
  </si>
  <si>
    <r>
      <t xml:space="preserve">The business generated a GMV of </t>
    </r>
    <r>
      <rPr>
        <b/>
        <sz val="11"/>
        <color theme="1"/>
        <rFont val="Aptos Display"/>
        <family val="2"/>
      </rPr>
      <t>₹9.67 lakh</t>
    </r>
    <r>
      <rPr>
        <sz val="11"/>
        <color theme="1"/>
        <rFont val="Aptos Display"/>
        <family val="2"/>
      </rPr>
      <t xml:space="preserve"> with a net revenue of </t>
    </r>
    <r>
      <rPr>
        <b/>
        <sz val="11"/>
        <color theme="1"/>
        <rFont val="Aptos Display"/>
        <family val="2"/>
      </rPr>
      <t>₹10.03 lakh</t>
    </r>
    <r>
      <rPr>
        <sz val="11"/>
        <color theme="1"/>
        <rFont val="Aptos Display"/>
        <family val="2"/>
      </rPr>
      <t xml:space="preserve">, while maintaining a </t>
    </r>
    <r>
      <rPr>
        <b/>
        <sz val="11"/>
        <color theme="1"/>
        <rFont val="Aptos Display"/>
        <family val="2"/>
      </rPr>
      <t>55.1% return rate</t>
    </r>
    <r>
      <rPr>
        <sz val="11"/>
        <color theme="1"/>
        <rFont val="Aptos Display"/>
        <family val="2"/>
      </rPr>
      <t xml:space="preserve"> and a low </t>
    </r>
    <r>
      <rPr>
        <b/>
        <sz val="11"/>
        <color theme="1"/>
        <rFont val="Aptos Display"/>
        <family val="2"/>
      </rPr>
      <t>RTO rate of 4.9%</t>
    </r>
    <r>
      <rPr>
        <sz val="11"/>
        <color theme="1"/>
        <rFont val="Aptos Display"/>
        <family val="2"/>
      </rPr>
      <t xml:space="preserve">, indicating strong order placement but high post-delivery returns. Refund processing is highly efficient at </t>
    </r>
    <r>
      <rPr>
        <b/>
        <sz val="11"/>
        <color theme="1"/>
        <rFont val="Aptos Display"/>
        <family val="2"/>
      </rPr>
      <t>95.6%</t>
    </r>
    <r>
      <rPr>
        <sz val="11"/>
        <color theme="1"/>
        <rFont val="Aptos Display"/>
        <family val="2"/>
      </rPr>
      <t>, and return rates are similar for new (</t>
    </r>
    <r>
      <rPr>
        <b/>
        <sz val="11"/>
        <color theme="1"/>
        <rFont val="Aptos Display"/>
        <family val="2"/>
      </rPr>
      <t>52.0%</t>
    </r>
    <r>
      <rPr>
        <sz val="11"/>
        <color theme="1"/>
        <rFont val="Aptos Display"/>
        <family val="2"/>
      </rPr>
      <t>) and returning (</t>
    </r>
    <r>
      <rPr>
        <b/>
        <sz val="11"/>
        <color theme="1"/>
        <rFont val="Aptos Display"/>
        <family val="2"/>
      </rPr>
      <t>51.9%</t>
    </r>
    <r>
      <rPr>
        <sz val="11"/>
        <color theme="1"/>
        <rFont val="Aptos Display"/>
        <family val="2"/>
      </rPr>
      <t xml:space="preserve">) customers. Fulfillment is well distributed across cities, led by </t>
    </r>
    <r>
      <rPr>
        <b/>
        <sz val="11"/>
        <color theme="1"/>
        <rFont val="Aptos Display"/>
        <family val="2"/>
      </rPr>
      <t>Delhi (38.2%)</t>
    </r>
    <r>
      <rPr>
        <sz val="11"/>
        <color theme="1"/>
        <rFont val="Aptos Display"/>
        <family val="2"/>
      </rPr>
      <t xml:space="preserve">, followed by </t>
    </r>
    <r>
      <rPr>
        <b/>
        <sz val="11"/>
        <color theme="1"/>
        <rFont val="Aptos Display"/>
        <family val="2"/>
      </rPr>
      <t>Mumbai (35.0%)</t>
    </r>
    <r>
      <rPr>
        <sz val="11"/>
        <color theme="1"/>
        <rFont val="Aptos Display"/>
        <family val="2"/>
      </rPr>
      <t xml:space="preserve"> and </t>
    </r>
    <r>
      <rPr>
        <b/>
        <sz val="11"/>
        <color theme="1"/>
        <rFont val="Aptos Display"/>
        <family val="2"/>
      </rPr>
      <t>Bangalore (26.9%)</t>
    </r>
    <r>
      <rPr>
        <sz val="11"/>
        <color theme="1"/>
        <rFont val="Aptos Display"/>
        <family val="2"/>
      </rPr>
      <t>, showing balanced operational load.</t>
    </r>
  </si>
  <si>
    <t>Business Interpretation :</t>
  </si>
  <si>
    <t>Q1. If the overall return rate is 19%, but returning customers have a 10% return rate while new
customers have 28%, what does this tell you?</t>
  </si>
  <si>
    <t>Q2. If 45% of returns cite "Size Issue," what operational changes might help?</t>
  </si>
  <si>
    <t>If 45% of returns are due to size issues, it indicates a clear mismatch between customer expectations and actual fit, so operational fixes should focus on size clarity and pre-dispatch accuracy; adding detailed size charts with garment measurements and model references, improving product images to show fit, and using size-recommendation tools can realistically cut size-related returns by 30–50%, which would reduce the overall return rate by about 6–9 percentage points, while strengthening warehouse checks for correct size picking and promoting exchanges or alterations instead of refunds can further lower reverse-logistics cost without hurting sales.</t>
  </si>
  <si>
    <r>
      <t xml:space="preserve">An overall return rate of </t>
    </r>
    <r>
      <rPr>
        <b/>
        <sz val="11"/>
        <color theme="1"/>
        <rFont val="Aptos Display"/>
        <family val="2"/>
      </rPr>
      <t xml:space="preserve">19% </t>
    </r>
    <r>
      <rPr>
        <sz val="11"/>
        <color theme="1"/>
        <rFont val="Aptos Display"/>
        <family val="2"/>
      </rPr>
      <t xml:space="preserve">with </t>
    </r>
    <r>
      <rPr>
        <b/>
        <sz val="11"/>
        <color theme="1"/>
        <rFont val="Aptos Display"/>
        <family val="2"/>
      </rPr>
      <t xml:space="preserve">new customers at 28% </t>
    </r>
    <r>
      <rPr>
        <sz val="11"/>
        <color theme="1"/>
        <rFont val="Aptos Display"/>
        <family val="2"/>
      </rPr>
      <t xml:space="preserve">and </t>
    </r>
    <r>
      <rPr>
        <b/>
        <sz val="11"/>
        <color theme="1"/>
        <rFont val="Aptos Display"/>
        <family val="2"/>
      </rPr>
      <t xml:space="preserve">returning customers at 10% </t>
    </r>
    <r>
      <rPr>
        <sz val="11"/>
        <color theme="1"/>
        <rFont val="Aptos Display"/>
        <family val="2"/>
      </rPr>
      <t xml:space="preserve">shows that returns are mainly driven by new customers, who return products at almost 3× the rate of repeat buyers, and because new customers contribute roughly </t>
    </r>
    <r>
      <rPr>
        <b/>
        <sz val="11"/>
        <color theme="1"/>
        <rFont val="Aptos Display"/>
        <family val="2"/>
      </rPr>
      <t>50% of total orders</t>
    </r>
    <r>
      <rPr>
        <sz val="11"/>
        <color theme="1"/>
        <rFont val="Aptos Display"/>
        <family val="2"/>
      </rPr>
      <t xml:space="preserve">, their high return behavior significantly pulls up the overall rate; this indicates expectation mismatch in first purchases (size, fit, product understanding, or promo-driven buying), higher acquisition inefficiency, and a clear opportunity to reduce returns by improving the first-order experience—if new-customer returns are reduced even to </t>
    </r>
    <r>
      <rPr>
        <b/>
        <sz val="11"/>
        <color theme="1"/>
        <rFont val="Aptos Display"/>
        <family val="2"/>
      </rPr>
      <t>20%</t>
    </r>
    <r>
      <rPr>
        <sz val="11"/>
        <color theme="1"/>
        <rFont val="Aptos Display"/>
        <family val="2"/>
      </rPr>
      <t xml:space="preserve">, the overall return rate would fall by about </t>
    </r>
    <r>
      <rPr>
        <b/>
        <sz val="11"/>
        <color theme="1"/>
        <rFont val="Aptos Display"/>
        <family val="2"/>
      </rPr>
      <t>4 percentage points</t>
    </r>
    <r>
      <rPr>
        <sz val="11"/>
        <color theme="1"/>
        <rFont val="Aptos Display"/>
        <family val="2"/>
      </rPr>
      <t>.</t>
    </r>
  </si>
  <si>
    <t>Q3. If Instagram Shop has the highest return rate, should we shut it down? What else would you
want to know before recommending that?</t>
  </si>
  <si>
    <t>No, Instagram Shop should not be shut down immediately just because it has the highest return rate, because return rate alone does not show business impact; before recommending closure, we need to know Instagram’s share of total orders and GMV, its net margin after discounts and return costs, the COD percentage and RTO rate for Instagram orders, the average order value compared to other channels, and whether returns are driven mainly by new customers or deep discounts—if Instagram contributes meaningful GMV and can reduce returns through COD restrictions, better size guidance, or lower discount depth, it is better to fix and optimize the channel rather than shut it down.</t>
  </si>
  <si>
    <t>Urban Thread Analysis By Nikhil Kumar</t>
  </si>
  <si>
    <t>Returned Orders</t>
  </si>
  <si>
    <t>Promotions increased sales volume without triggering immediate quality issues, but amplified delayed returns, pointing to fit and expectation problems rather than fulfillment defects.</t>
  </si>
  <si>
    <t>Avg Return Rate</t>
  </si>
  <si>
    <t>Overall Average</t>
  </si>
  <si>
    <t>Outerwear (76.47%) and Dresses (62.86%) are the only categories above the overall average return rate (51.81%), clearly identifying them as the primary drivers of returns, while Accessories and Bottoms perform significantly better.</t>
  </si>
  <si>
    <t>% of Returns</t>
  </si>
  <si>
    <t>Over half of returns are customer-preference driven (size and change of mind), while roughly one-third are within direct operational control, making sizing improvements the highest-impact lever.</t>
  </si>
  <si>
    <t>% of Row Total</t>
  </si>
  <si>
    <t>New customers acquired via Instagram represent the highest return risk and should be the primary focus for targeted controls and onboarding improvements.</t>
  </si>
  <si>
    <t>RTO Flag</t>
  </si>
  <si>
    <t>RTO Orders</t>
  </si>
  <si>
    <t>COD carries disproportionate financial risk due to high returns and RTO, while prepaid methods—especially UPI and Wallet—are materially safer.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</si>
</sst>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0" x14ac:knownFonts="1">
    <font>
      <sz val="11"/>
      <color theme="1"/>
      <name val="Aptos Display"/>
      <family val="2"/>
    </font>
    <font>
      <b/>
      <sz val="11"/>
      <color theme="1"/>
      <name val="Aptos Display"/>
      <family val="2"/>
    </font>
    <font>
      <sz val="8"/>
      <name val="Aptos Display"/>
      <family val="2"/>
    </font>
    <font>
      <b/>
      <sz val="16"/>
      <color theme="1"/>
      <name val="Aptos Display"/>
      <family val="2"/>
    </font>
    <font>
      <b/>
      <sz val="14"/>
      <color theme="1"/>
      <name val="Aptos Display"/>
      <family val="2"/>
    </font>
    <font>
      <b/>
      <sz val="12"/>
      <color theme="1"/>
      <name val="Aptos Display"/>
      <family val="2"/>
    </font>
    <font>
      <b/>
      <sz val="18"/>
      <color theme="1"/>
      <name val="Aptos Display"/>
      <family val="2"/>
    </font>
    <font>
      <b/>
      <sz val="13.5"/>
      <color theme="1"/>
      <name val="Aptos Display"/>
      <family val="2"/>
    </font>
    <font>
      <sz val="12"/>
      <color theme="1"/>
      <name val="Aptos Display"/>
      <family val="2"/>
    </font>
    <font>
      <b/>
      <sz val="36"/>
      <color theme="1"/>
      <name val="Aptos Display"/>
      <family val="2"/>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79998168889431442"/>
        <bgColor theme="4" tint="0.79998168889431442"/>
      </patternFill>
    </fill>
    <fill>
      <patternFill patternType="solid">
        <fgColor theme="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8">
    <xf numFmtId="0" fontId="0" fillId="0" borderId="0" xfId="0"/>
    <xf numFmtId="14" fontId="0" fillId="0" borderId="0" xfId="0" applyNumberFormat="1"/>
    <xf numFmtId="44" fontId="0" fillId="0" borderId="0" xfId="0" applyNumberFormat="1"/>
    <xf numFmtId="1" fontId="0" fillId="0" borderId="0" xfId="0" applyNumberFormat="1"/>
    <xf numFmtId="2" fontId="0" fillId="0" borderId="0" xfId="0" applyNumberFormat="1"/>
    <xf numFmtId="0" fontId="3" fillId="0" borderId="0" xfId="0" applyFont="1"/>
    <xf numFmtId="0" fontId="0" fillId="0" borderId="1" xfId="0" applyBorder="1"/>
    <xf numFmtId="44" fontId="0" fillId="0" borderId="1" xfId="0" applyNumberFormat="1" applyBorder="1"/>
    <xf numFmtId="10" fontId="0" fillId="0" borderId="1" xfId="0" applyNumberFormat="1" applyBorder="1"/>
    <xf numFmtId="0" fontId="1" fillId="0" borderId="0" xfId="0" applyFont="1"/>
    <xf numFmtId="0" fontId="1" fillId="2" borderId="1" xfId="0" applyFont="1" applyFill="1" applyBorder="1"/>
    <xf numFmtId="0" fontId="0" fillId="0" borderId="0" xfId="0" pivotButton="1"/>
    <xf numFmtId="0" fontId="0" fillId="0" borderId="0" xfId="0" applyAlignment="1">
      <alignment horizontal="left"/>
    </xf>
    <xf numFmtId="0" fontId="4" fillId="0" borderId="0" xfId="0" applyFont="1"/>
    <xf numFmtId="0" fontId="0" fillId="0" borderId="0" xfId="0" applyAlignment="1">
      <alignment vertical="center"/>
    </xf>
    <xf numFmtId="0" fontId="1" fillId="0" borderId="2" xfId="0" applyFont="1" applyBorder="1" applyAlignment="1">
      <alignment horizontal="center"/>
    </xf>
    <xf numFmtId="0" fontId="1" fillId="0" borderId="0" xfId="0" applyFont="1" applyAlignment="1">
      <alignment horizontal="center"/>
    </xf>
    <xf numFmtId="0" fontId="5" fillId="0" borderId="0" xfId="0" applyFont="1"/>
    <xf numFmtId="0" fontId="0"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horizontal="left" vertical="center" wrapText="1"/>
    </xf>
    <xf numFmtId="0" fontId="6" fillId="0" borderId="0" xfId="0" applyFont="1"/>
    <xf numFmtId="0" fontId="0" fillId="0" borderId="0" xfId="0" applyNumberFormat="1"/>
    <xf numFmtId="10" fontId="0" fillId="0" borderId="0" xfId="0" applyNumberFormat="1"/>
    <xf numFmtId="0" fontId="1" fillId="3" borderId="1" xfId="0" applyFont="1" applyFill="1" applyBorder="1" applyAlignment="1">
      <alignment horizontal="center"/>
    </xf>
    <xf numFmtId="0" fontId="1" fillId="3" borderId="1" xfId="0" applyFont="1" applyFill="1" applyBorder="1" applyAlignment="1">
      <alignment horizontal="center" vertical="center"/>
    </xf>
    <xf numFmtId="10" fontId="0" fillId="0" borderId="1" xfId="0" applyNumberFormat="1" applyBorder="1" applyAlignment="1">
      <alignment horizontal="right" vertical="center"/>
    </xf>
    <xf numFmtId="0" fontId="0" fillId="0" borderId="1" xfId="0" applyBorder="1" applyAlignment="1">
      <alignment horizontal="left"/>
    </xf>
    <xf numFmtId="0" fontId="0" fillId="0" borderId="1" xfId="0" applyNumberFormat="1" applyBorder="1"/>
    <xf numFmtId="0" fontId="7"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0" fillId="0" borderId="0" xfId="0" applyAlignment="1">
      <alignment horizontal="center" vertical="center" wrapText="1"/>
    </xf>
    <xf numFmtId="0" fontId="0" fillId="0" borderId="0" xfId="0" applyBorder="1"/>
    <xf numFmtId="10" fontId="0" fillId="0" borderId="0" xfId="0" applyNumberFormat="1" applyBorder="1"/>
    <xf numFmtId="0" fontId="1" fillId="4" borderId="1" xfId="0" applyFont="1" applyFill="1" applyBorder="1" applyAlignment="1">
      <alignment horizontal="center" vertical="center"/>
    </xf>
    <xf numFmtId="0" fontId="5" fillId="3" borderId="1" xfId="0" applyFont="1" applyFill="1" applyBorder="1" applyAlignment="1">
      <alignment horizontal="center"/>
    </xf>
    <xf numFmtId="0" fontId="0" fillId="0" borderId="1" xfId="0" applyBorder="1" applyAlignment="1">
      <alignment wrapText="1"/>
    </xf>
    <xf numFmtId="0" fontId="5" fillId="3" borderId="1" xfId="0" applyFont="1" applyFill="1" applyBorder="1" applyAlignment="1">
      <alignment horizontal="center" vertical="center"/>
    </xf>
    <xf numFmtId="0" fontId="1" fillId="0" borderId="0" xfId="0" applyFont="1" applyAlignment="1"/>
    <xf numFmtId="10" fontId="0" fillId="0" borderId="1" xfId="0" applyNumberFormat="1" applyBorder="1" applyAlignment="1">
      <alignment horizontal="left"/>
    </xf>
    <xf numFmtId="14" fontId="0" fillId="0" borderId="1" xfId="0" applyNumberFormat="1" applyBorder="1"/>
    <xf numFmtId="0" fontId="8" fillId="0" borderId="0" xfId="0" applyFont="1" applyAlignment="1">
      <alignment horizontal="center" vertical="center" wrapText="1"/>
    </xf>
    <xf numFmtId="0" fontId="9" fillId="5" borderId="0" xfId="0" applyFont="1" applyFill="1" applyBorder="1" applyAlignment="1">
      <alignment horizontal="center" vertical="center"/>
    </xf>
    <xf numFmtId="0" fontId="9" fillId="0" borderId="0" xfId="0" applyFont="1" applyFill="1" applyBorder="1" applyAlignment="1">
      <alignment vertical="center"/>
    </xf>
    <xf numFmtId="0" fontId="9" fillId="5" borderId="2" xfId="0" applyFont="1" applyFill="1" applyBorder="1" applyAlignment="1">
      <alignment horizontal="center" vertical="center"/>
    </xf>
  </cellXfs>
  <cellStyles count="1">
    <cellStyle name="Normal" xfId="0" builtinId="0"/>
  </cellStyles>
  <dxfs count="33">
    <dxf>
      <numFmt numFmtId="0" formatCode="General"/>
    </dxf>
    <dxf>
      <numFmt numFmtId="19" formatCode="dd/mm/yyyy"/>
    </dxf>
    <dxf>
      <numFmt numFmtId="0" formatCode="General"/>
    </dxf>
    <dxf>
      <numFmt numFmtId="0" formatCode="General"/>
    </dxf>
    <dxf>
      <numFmt numFmtId="19" formatCode="dd/mm/yyyy"/>
    </dxf>
    <dxf>
      <numFmt numFmtId="1" formatCode="0"/>
    </dxf>
    <dxf>
      <numFmt numFmtId="1" formatCode="0"/>
    </dxf>
    <dxf>
      <numFmt numFmtId="19" formatCode="dd/mm/yyyy"/>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Analyst Intern_Nikhil_Kumar_Excel_February2026.xlsx]All Analysis!PivotTable3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latin typeface="Aptos Display" panose="020B0004020202020204" pitchFamily="34" charset="0"/>
              </a:rPr>
              <a:t>Monthly Orders by Customer Type (New vs Returning)</a:t>
            </a:r>
            <a:endParaRPr lang="en-IN" sz="1200" b="1">
              <a:solidFill>
                <a:schemeClr val="tx1"/>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Analysis'!$B$17:$B$18</c:f>
              <c:strCache>
                <c:ptCount val="1"/>
                <c:pt idx="0">
                  <c:v>New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Analysis'!$A$19:$A$22</c:f>
              <c:strCache>
                <c:ptCount val="3"/>
                <c:pt idx="0">
                  <c:v>October</c:v>
                </c:pt>
                <c:pt idx="1">
                  <c:v>November</c:v>
                </c:pt>
                <c:pt idx="2">
                  <c:v>December</c:v>
                </c:pt>
              </c:strCache>
            </c:strRef>
          </c:cat>
          <c:val>
            <c:numRef>
              <c:f>'All Analysis'!$B$19:$B$22</c:f>
              <c:numCache>
                <c:formatCode>General</c:formatCode>
                <c:ptCount val="3"/>
                <c:pt idx="0">
                  <c:v>99</c:v>
                </c:pt>
                <c:pt idx="1">
                  <c:v>74</c:v>
                </c:pt>
                <c:pt idx="2">
                  <c:v>97</c:v>
                </c:pt>
              </c:numCache>
            </c:numRef>
          </c:val>
          <c:extLst>
            <c:ext xmlns:c16="http://schemas.microsoft.com/office/drawing/2014/chart" uri="{C3380CC4-5D6E-409C-BE32-E72D297353CC}">
              <c16:uniqueId val="{00000000-473C-47B7-8978-CE7CF7FFD5FF}"/>
            </c:ext>
          </c:extLst>
        </c:ser>
        <c:ser>
          <c:idx val="1"/>
          <c:order val="1"/>
          <c:tx>
            <c:strRef>
              <c:f>'All Analysis'!$C$17:$C$18</c:f>
              <c:strCache>
                <c:ptCount val="1"/>
                <c:pt idx="0">
                  <c:v>Returning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Analysis'!$A$19:$A$22</c:f>
              <c:strCache>
                <c:ptCount val="3"/>
                <c:pt idx="0">
                  <c:v>October</c:v>
                </c:pt>
                <c:pt idx="1">
                  <c:v>November</c:v>
                </c:pt>
                <c:pt idx="2">
                  <c:v>December</c:v>
                </c:pt>
              </c:strCache>
            </c:strRef>
          </c:cat>
          <c:val>
            <c:numRef>
              <c:f>'All Analysis'!$C$19:$C$22</c:f>
              <c:numCache>
                <c:formatCode>General</c:formatCode>
                <c:ptCount val="3"/>
                <c:pt idx="0">
                  <c:v>33</c:v>
                </c:pt>
                <c:pt idx="1">
                  <c:v>19</c:v>
                </c:pt>
                <c:pt idx="2">
                  <c:v>24</c:v>
                </c:pt>
              </c:numCache>
            </c:numRef>
          </c:val>
          <c:extLst>
            <c:ext xmlns:c16="http://schemas.microsoft.com/office/drawing/2014/chart" uri="{C3380CC4-5D6E-409C-BE32-E72D297353CC}">
              <c16:uniqueId val="{00000001-473C-47B7-8978-CE7CF7FFD5FF}"/>
            </c:ext>
          </c:extLst>
        </c:ser>
        <c:dLbls>
          <c:dLblPos val="outEnd"/>
          <c:showLegendKey val="0"/>
          <c:showVal val="1"/>
          <c:showCatName val="0"/>
          <c:showSerName val="0"/>
          <c:showPercent val="0"/>
          <c:showBubbleSize val="0"/>
        </c:dLbls>
        <c:gapWidth val="219"/>
        <c:overlap val="-27"/>
        <c:axId val="621827631"/>
        <c:axId val="621828111"/>
      </c:barChart>
      <c:catAx>
        <c:axId val="62182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endParaRPr lang="LID4096"/>
          </a:p>
        </c:txPr>
        <c:crossAx val="621828111"/>
        <c:crosses val="autoZero"/>
        <c:auto val="1"/>
        <c:lblAlgn val="ctr"/>
        <c:lblOffset val="100"/>
        <c:noMultiLvlLbl val="0"/>
      </c:catAx>
      <c:valAx>
        <c:axId val="621828111"/>
        <c:scaling>
          <c:orientation val="minMax"/>
        </c:scaling>
        <c:delete val="1"/>
        <c:axPos val="l"/>
        <c:numFmt formatCode="General" sourceLinked="1"/>
        <c:majorTickMark val="none"/>
        <c:minorTickMark val="none"/>
        <c:tickLblPos val="nextTo"/>
        <c:crossAx val="62182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Analyst Intern_Nikhil_Kumar_Excel_February2026.xlsx]All Analysis!PivotTable4</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solidFill>
                  <a:schemeClr val="tx1"/>
                </a:solidFill>
                <a:latin typeface="Aptos Display" panose="020B0004020202020204" pitchFamily="34" charset="0"/>
              </a:rPr>
              <a:t>Monthly Revenue by Customer Type (New vs Returning)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Analysis'!$G$17:$G$18</c:f>
              <c:strCache>
                <c:ptCount val="1"/>
                <c:pt idx="0">
                  <c:v>New</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Analysis'!$F$19:$F$22</c:f>
              <c:strCache>
                <c:ptCount val="3"/>
                <c:pt idx="0">
                  <c:v>October</c:v>
                </c:pt>
                <c:pt idx="1">
                  <c:v>November</c:v>
                </c:pt>
                <c:pt idx="2">
                  <c:v>December</c:v>
                </c:pt>
              </c:strCache>
            </c:strRef>
          </c:cat>
          <c:val>
            <c:numRef>
              <c:f>'All Analysis'!$G$19:$G$22</c:f>
              <c:numCache>
                <c:formatCode>_("₹"* #,##0.00_);_("₹"* \(#,##0.00\);_("₹"* "-"??_);_(@_)</c:formatCode>
                <c:ptCount val="3"/>
                <c:pt idx="0">
                  <c:v>252147.74166666658</c:v>
                </c:pt>
                <c:pt idx="1">
                  <c:v>222234.87500000003</c:v>
                </c:pt>
                <c:pt idx="2">
                  <c:v>298985.89999999985</c:v>
                </c:pt>
              </c:numCache>
            </c:numRef>
          </c:val>
          <c:extLst>
            <c:ext xmlns:c16="http://schemas.microsoft.com/office/drawing/2014/chart" uri="{C3380CC4-5D6E-409C-BE32-E72D297353CC}">
              <c16:uniqueId val="{00000000-19E8-446B-8D24-091151B2BE4E}"/>
            </c:ext>
          </c:extLst>
        </c:ser>
        <c:ser>
          <c:idx val="1"/>
          <c:order val="1"/>
          <c:tx>
            <c:strRef>
              <c:f>'All Analysis'!$H$17:$H$18</c:f>
              <c:strCache>
                <c:ptCount val="1"/>
                <c:pt idx="0">
                  <c:v>Returning</c:v>
                </c:pt>
              </c:strCache>
            </c:strRef>
          </c:tx>
          <c:spPr>
            <a:solidFill>
              <a:schemeClr val="accent2"/>
            </a:solidFill>
            <a:ln>
              <a:noFill/>
            </a:ln>
            <a:effectLst/>
          </c:spPr>
          <c:invertIfNegative val="0"/>
          <c:dLbls>
            <c:numFmt formatCode="&quot;₹&quot;\ #,##0.00" sourceLinked="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Analysis'!$F$19:$F$22</c:f>
              <c:strCache>
                <c:ptCount val="3"/>
                <c:pt idx="0">
                  <c:v>October</c:v>
                </c:pt>
                <c:pt idx="1">
                  <c:v>November</c:v>
                </c:pt>
                <c:pt idx="2">
                  <c:v>December</c:v>
                </c:pt>
              </c:strCache>
            </c:strRef>
          </c:cat>
          <c:val>
            <c:numRef>
              <c:f>'All Analysis'!$H$19:$H$22</c:f>
              <c:numCache>
                <c:formatCode>_("₹"* #,##0.00_);_("₹"* \(#,##0.00\);_("₹"* "-"??_);_(@_)</c:formatCode>
                <c:ptCount val="3"/>
                <c:pt idx="0">
                  <c:v>107171.13333333332</c:v>
                </c:pt>
                <c:pt idx="1">
                  <c:v>50809.700000000004</c:v>
                </c:pt>
                <c:pt idx="2">
                  <c:v>71446.700000000012</c:v>
                </c:pt>
              </c:numCache>
            </c:numRef>
          </c:val>
          <c:extLst>
            <c:ext xmlns:c16="http://schemas.microsoft.com/office/drawing/2014/chart" uri="{C3380CC4-5D6E-409C-BE32-E72D297353CC}">
              <c16:uniqueId val="{00000001-19E8-446B-8D24-091151B2BE4E}"/>
            </c:ext>
          </c:extLst>
        </c:ser>
        <c:dLbls>
          <c:dLblPos val="outEnd"/>
          <c:showLegendKey val="0"/>
          <c:showVal val="1"/>
          <c:showCatName val="0"/>
          <c:showSerName val="0"/>
          <c:showPercent val="0"/>
          <c:showBubbleSize val="0"/>
        </c:dLbls>
        <c:gapWidth val="219"/>
        <c:axId val="872305583"/>
        <c:axId val="872299823"/>
      </c:barChart>
      <c:catAx>
        <c:axId val="87230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LID4096"/>
          </a:p>
        </c:txPr>
        <c:crossAx val="872299823"/>
        <c:crosses val="autoZero"/>
        <c:auto val="1"/>
        <c:lblAlgn val="ctr"/>
        <c:lblOffset val="100"/>
        <c:noMultiLvlLbl val="0"/>
      </c:catAx>
      <c:valAx>
        <c:axId val="872299823"/>
        <c:scaling>
          <c:orientation val="minMax"/>
        </c:scaling>
        <c:delete val="1"/>
        <c:axPos val="b"/>
        <c:numFmt formatCode="_(&quot;₹&quot;* #,##0.00_);_(&quot;₹&quot;* \(#,##0.00\);_(&quot;₹&quot;* &quot;-&quot;??_);_(@_)" sourceLinked="1"/>
        <c:majorTickMark val="none"/>
        <c:minorTickMark val="none"/>
        <c:tickLblPos val="nextTo"/>
        <c:crossAx val="872305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Analyst Intern_Nikhil_Kumar_Excel_February2026.xlsx]All Analysis!PivotTable5</c:name>
    <c:fmtId val="10"/>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ptos Display" panose="020B0004020202020204" pitchFamily="34" charset="0"/>
                <a:ea typeface="+mn-ea"/>
                <a:cs typeface="+mn-cs"/>
              </a:defRPr>
            </a:pPr>
            <a:r>
              <a:rPr lang="en-IN" b="1"/>
              <a:t>Monthly Avg Discount(%) by Customer Type (New vs Returning) : </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Analysis'!$L$17:$L$18</c:f>
              <c:strCache>
                <c:ptCount val="1"/>
                <c:pt idx="0">
                  <c:v>New</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Analysis'!$K$19:$K$22</c:f>
              <c:strCache>
                <c:ptCount val="3"/>
                <c:pt idx="0">
                  <c:v>October</c:v>
                </c:pt>
                <c:pt idx="1">
                  <c:v>November</c:v>
                </c:pt>
                <c:pt idx="2">
                  <c:v>December</c:v>
                </c:pt>
              </c:strCache>
            </c:strRef>
          </c:cat>
          <c:val>
            <c:numRef>
              <c:f>'All Analysis'!$L$19:$L$22</c:f>
              <c:numCache>
                <c:formatCode>0.00</c:formatCode>
                <c:ptCount val="3"/>
                <c:pt idx="0">
                  <c:v>11.363636363636363</c:v>
                </c:pt>
                <c:pt idx="1">
                  <c:v>11.148648648648649</c:v>
                </c:pt>
                <c:pt idx="2">
                  <c:v>7.2164948453608249</c:v>
                </c:pt>
              </c:numCache>
            </c:numRef>
          </c:val>
          <c:extLst>
            <c:ext xmlns:c16="http://schemas.microsoft.com/office/drawing/2014/chart" uri="{C3380CC4-5D6E-409C-BE32-E72D297353CC}">
              <c16:uniqueId val="{00000000-55F6-412D-9AE9-940FF6D55CC3}"/>
            </c:ext>
          </c:extLst>
        </c:ser>
        <c:ser>
          <c:idx val="1"/>
          <c:order val="1"/>
          <c:tx>
            <c:strRef>
              <c:f>'All Analysis'!$M$17:$M$18</c:f>
              <c:strCache>
                <c:ptCount val="1"/>
                <c:pt idx="0">
                  <c:v>Returning</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Analysis'!$K$19:$K$22</c:f>
              <c:strCache>
                <c:ptCount val="3"/>
                <c:pt idx="0">
                  <c:v>October</c:v>
                </c:pt>
                <c:pt idx="1">
                  <c:v>November</c:v>
                </c:pt>
                <c:pt idx="2">
                  <c:v>December</c:v>
                </c:pt>
              </c:strCache>
            </c:strRef>
          </c:cat>
          <c:val>
            <c:numRef>
              <c:f>'All Analysis'!$M$19:$M$22</c:f>
              <c:numCache>
                <c:formatCode>0.00</c:formatCode>
                <c:ptCount val="3"/>
                <c:pt idx="0">
                  <c:v>9.0909090909090917</c:v>
                </c:pt>
                <c:pt idx="1">
                  <c:v>11.578947368421053</c:v>
                </c:pt>
                <c:pt idx="2">
                  <c:v>8.3333333333333339</c:v>
                </c:pt>
              </c:numCache>
            </c:numRef>
          </c:val>
          <c:extLst>
            <c:ext xmlns:c16="http://schemas.microsoft.com/office/drawing/2014/chart" uri="{C3380CC4-5D6E-409C-BE32-E72D297353CC}">
              <c16:uniqueId val="{00000001-55F6-412D-9AE9-940FF6D55CC3}"/>
            </c:ext>
          </c:extLst>
        </c:ser>
        <c:dLbls>
          <c:dLblPos val="outEnd"/>
          <c:showLegendKey val="0"/>
          <c:showVal val="1"/>
          <c:showCatName val="0"/>
          <c:showSerName val="0"/>
          <c:showPercent val="0"/>
          <c:showBubbleSize val="0"/>
        </c:dLbls>
        <c:gapWidth val="219"/>
        <c:overlap val="-27"/>
        <c:axId val="872292671"/>
        <c:axId val="872293151"/>
      </c:barChart>
      <c:catAx>
        <c:axId val="872292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crossAx val="872293151"/>
        <c:crosses val="autoZero"/>
        <c:auto val="1"/>
        <c:lblAlgn val="ctr"/>
        <c:lblOffset val="100"/>
        <c:noMultiLvlLbl val="0"/>
      </c:catAx>
      <c:valAx>
        <c:axId val="872293151"/>
        <c:scaling>
          <c:orientation val="minMax"/>
        </c:scaling>
        <c:delete val="1"/>
        <c:axPos val="l"/>
        <c:numFmt formatCode="0.00" sourceLinked="1"/>
        <c:majorTickMark val="out"/>
        <c:minorTickMark val="none"/>
        <c:tickLblPos val="nextTo"/>
        <c:crossAx val="872292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Aptos Display" panose="020B0004020202020204" pitchFamily="34" charset="0"/>
                <a:ea typeface="+mn-ea"/>
                <a:cs typeface="+mn-cs"/>
              </a:defRPr>
            </a:pPr>
            <a:r>
              <a:rPr lang="en-IN" sz="1800" b="1">
                <a:solidFill>
                  <a:schemeClr val="tx1"/>
                </a:solidFill>
              </a:rPr>
              <a:t>Order Volume Spikes Were Followed by Lagged Increase in Returns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Analysis'!$B$58</c:f>
              <c:strCache>
                <c:ptCount val="1"/>
                <c:pt idx="0">
                  <c:v>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Analysis'!$A$59:$A$72</c:f>
              <c:strCache>
                <c:ptCount val="14"/>
                <c:pt idx="0">
                  <c:v>02-12-2024</c:v>
                </c:pt>
                <c:pt idx="1">
                  <c:v>04-11-2024</c:v>
                </c:pt>
                <c:pt idx="2">
                  <c:v>07-10-2024</c:v>
                </c:pt>
                <c:pt idx="3">
                  <c:v>09-12-2024</c:v>
                </c:pt>
                <c:pt idx="4">
                  <c:v>11-11-2024</c:v>
                </c:pt>
                <c:pt idx="5">
                  <c:v>14-10-2024</c:v>
                </c:pt>
                <c:pt idx="6">
                  <c:v>16-12-2024</c:v>
                </c:pt>
                <c:pt idx="7">
                  <c:v>18-11-2024</c:v>
                </c:pt>
                <c:pt idx="8">
                  <c:v>21-10-2024</c:v>
                </c:pt>
                <c:pt idx="9">
                  <c:v>23-12-2024</c:v>
                </c:pt>
                <c:pt idx="10">
                  <c:v>25-11-2024</c:v>
                </c:pt>
                <c:pt idx="11">
                  <c:v>28-10-2024</c:v>
                </c:pt>
                <c:pt idx="12">
                  <c:v>30-09-2024</c:v>
                </c:pt>
                <c:pt idx="13">
                  <c:v>30-12-2024</c:v>
                </c:pt>
              </c:strCache>
            </c:strRef>
          </c:cat>
          <c:val>
            <c:numRef>
              <c:f>'All Analysis'!$B$59:$B$72</c:f>
              <c:numCache>
                <c:formatCode>General</c:formatCode>
                <c:ptCount val="14"/>
                <c:pt idx="0">
                  <c:v>28</c:v>
                </c:pt>
                <c:pt idx="1">
                  <c:v>21</c:v>
                </c:pt>
                <c:pt idx="2">
                  <c:v>30</c:v>
                </c:pt>
                <c:pt idx="3">
                  <c:v>28</c:v>
                </c:pt>
                <c:pt idx="4">
                  <c:v>21</c:v>
                </c:pt>
                <c:pt idx="5">
                  <c:v>28</c:v>
                </c:pt>
                <c:pt idx="6">
                  <c:v>28</c:v>
                </c:pt>
                <c:pt idx="7">
                  <c:v>21</c:v>
                </c:pt>
                <c:pt idx="8">
                  <c:v>27</c:v>
                </c:pt>
                <c:pt idx="9">
                  <c:v>28</c:v>
                </c:pt>
                <c:pt idx="10">
                  <c:v>22</c:v>
                </c:pt>
                <c:pt idx="11">
                  <c:v>33</c:v>
                </c:pt>
                <c:pt idx="12">
                  <c:v>26</c:v>
                </c:pt>
                <c:pt idx="13">
                  <c:v>5</c:v>
                </c:pt>
              </c:numCache>
            </c:numRef>
          </c:val>
          <c:extLst>
            <c:ext xmlns:c16="http://schemas.microsoft.com/office/drawing/2014/chart" uri="{C3380CC4-5D6E-409C-BE32-E72D297353CC}">
              <c16:uniqueId val="{00000000-43A2-4B28-854B-9368CF8C9D68}"/>
            </c:ext>
          </c:extLst>
        </c:ser>
        <c:dLbls>
          <c:showLegendKey val="0"/>
          <c:showVal val="1"/>
          <c:showCatName val="0"/>
          <c:showSerName val="0"/>
          <c:showPercent val="0"/>
          <c:showBubbleSize val="0"/>
        </c:dLbls>
        <c:gapWidth val="219"/>
        <c:overlap val="-27"/>
        <c:axId val="1195711296"/>
        <c:axId val="1195708416"/>
      </c:barChart>
      <c:lineChart>
        <c:grouping val="standard"/>
        <c:varyColors val="0"/>
        <c:ser>
          <c:idx val="1"/>
          <c:order val="1"/>
          <c:tx>
            <c:strRef>
              <c:f>'All Analysis'!$C$58</c:f>
              <c:strCache>
                <c:ptCount val="1"/>
                <c:pt idx="0">
                  <c:v>Weekly Return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Analysis'!$A$59:$A$72</c:f>
              <c:strCache>
                <c:ptCount val="14"/>
                <c:pt idx="0">
                  <c:v>02-12-2024</c:v>
                </c:pt>
                <c:pt idx="1">
                  <c:v>04-11-2024</c:v>
                </c:pt>
                <c:pt idx="2">
                  <c:v>07-10-2024</c:v>
                </c:pt>
                <c:pt idx="3">
                  <c:v>09-12-2024</c:v>
                </c:pt>
                <c:pt idx="4">
                  <c:v>11-11-2024</c:v>
                </c:pt>
                <c:pt idx="5">
                  <c:v>14-10-2024</c:v>
                </c:pt>
                <c:pt idx="6">
                  <c:v>16-12-2024</c:v>
                </c:pt>
                <c:pt idx="7">
                  <c:v>18-11-2024</c:v>
                </c:pt>
                <c:pt idx="8">
                  <c:v>21-10-2024</c:v>
                </c:pt>
                <c:pt idx="9">
                  <c:v>23-12-2024</c:v>
                </c:pt>
                <c:pt idx="10">
                  <c:v>25-11-2024</c:v>
                </c:pt>
                <c:pt idx="11">
                  <c:v>28-10-2024</c:v>
                </c:pt>
                <c:pt idx="12">
                  <c:v>30-09-2024</c:v>
                </c:pt>
                <c:pt idx="13">
                  <c:v>30-12-2024</c:v>
                </c:pt>
              </c:strCache>
            </c:strRef>
          </c:cat>
          <c:val>
            <c:numRef>
              <c:f>'All Analysis'!$C$59:$C$72</c:f>
              <c:numCache>
                <c:formatCode>0.00%</c:formatCode>
                <c:ptCount val="14"/>
                <c:pt idx="0">
                  <c:v>0.40740740740740738</c:v>
                </c:pt>
                <c:pt idx="1">
                  <c:v>0.55000000000000004</c:v>
                </c:pt>
                <c:pt idx="2">
                  <c:v>0.39285714285714285</c:v>
                </c:pt>
                <c:pt idx="3">
                  <c:v>0.59259259259259256</c:v>
                </c:pt>
                <c:pt idx="4">
                  <c:v>0.6</c:v>
                </c:pt>
                <c:pt idx="5">
                  <c:v>0.5</c:v>
                </c:pt>
                <c:pt idx="6">
                  <c:v>0.6071428571428571</c:v>
                </c:pt>
                <c:pt idx="7">
                  <c:v>0.55000000000000004</c:v>
                </c:pt>
                <c:pt idx="8">
                  <c:v>0.41666666666666669</c:v>
                </c:pt>
                <c:pt idx="9">
                  <c:v>0.6071428571428571</c:v>
                </c:pt>
                <c:pt idx="10">
                  <c:v>0.61904761904761907</c:v>
                </c:pt>
                <c:pt idx="11">
                  <c:v>0.77419354838709675</c:v>
                </c:pt>
                <c:pt idx="12">
                  <c:v>0.47826086956521741</c:v>
                </c:pt>
                <c:pt idx="13">
                  <c:v>0.6</c:v>
                </c:pt>
              </c:numCache>
            </c:numRef>
          </c:val>
          <c:smooth val="0"/>
          <c:extLst>
            <c:ext xmlns:c16="http://schemas.microsoft.com/office/drawing/2014/chart" uri="{C3380CC4-5D6E-409C-BE32-E72D297353CC}">
              <c16:uniqueId val="{00000001-43A2-4B28-854B-9368CF8C9D68}"/>
            </c:ext>
          </c:extLst>
        </c:ser>
        <c:dLbls>
          <c:showLegendKey val="0"/>
          <c:showVal val="1"/>
          <c:showCatName val="0"/>
          <c:showSerName val="0"/>
          <c:showPercent val="0"/>
          <c:showBubbleSize val="0"/>
        </c:dLbls>
        <c:marker val="1"/>
        <c:smooth val="0"/>
        <c:axId val="1576346896"/>
        <c:axId val="1576351696"/>
      </c:lineChart>
      <c:catAx>
        <c:axId val="119571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IN" sz="1200">
                    <a:solidFill>
                      <a:schemeClr val="tx1"/>
                    </a:solidFill>
                  </a:rPr>
                  <a:t>Week Start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1195708416"/>
        <c:crosses val="autoZero"/>
        <c:auto val="1"/>
        <c:lblAlgn val="ctr"/>
        <c:lblOffset val="100"/>
        <c:noMultiLvlLbl val="0"/>
      </c:catAx>
      <c:valAx>
        <c:axId val="1195708416"/>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r>
                  <a:rPr lang="en-IN" sz="1400">
                    <a:solidFill>
                      <a:schemeClr val="tx1"/>
                    </a:solidFill>
                  </a:rPr>
                  <a:t>Total Orders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1195711296"/>
        <c:crosses val="autoZero"/>
        <c:crossBetween val="between"/>
      </c:valAx>
      <c:valAx>
        <c:axId val="15763516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IN" sz="1200">
                    <a:solidFill>
                      <a:schemeClr val="tx1"/>
                    </a:solidFill>
                  </a:rPr>
                  <a:t>Weekly Return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1576346896"/>
        <c:crosses val="max"/>
        <c:crossBetween val="between"/>
      </c:valAx>
      <c:catAx>
        <c:axId val="1576346896"/>
        <c:scaling>
          <c:orientation val="minMax"/>
        </c:scaling>
        <c:delete val="1"/>
        <c:axPos val="b"/>
        <c:numFmt formatCode="General" sourceLinked="1"/>
        <c:majorTickMark val="out"/>
        <c:minorTickMark val="none"/>
        <c:tickLblPos val="nextTo"/>
        <c:crossAx val="157635169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Aptos Display" panose="020B0004020202020204" pitchFamily="34" charset="0"/>
                <a:ea typeface="+mn-ea"/>
                <a:cs typeface="+mn-cs"/>
              </a:defRPr>
            </a:pPr>
            <a:r>
              <a:rPr lang="en-IN" sz="1600" b="1" i="0" u="none" strike="noStrike" baseline="0">
                <a:effectLst/>
              </a:rPr>
              <a:t>Customer Type (New vs Returning)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Analysis'!$F$173</c:f>
              <c:strCache>
                <c:ptCount val="1"/>
                <c:pt idx="0">
                  <c:v>Return Rate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2592-4EE6-BA0B-D86A470644F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Analysis'!$A$174:$A$175</c:f>
              <c:strCache>
                <c:ptCount val="2"/>
                <c:pt idx="0">
                  <c:v>New</c:v>
                </c:pt>
                <c:pt idx="1">
                  <c:v>Returning</c:v>
                </c:pt>
              </c:strCache>
            </c:strRef>
          </c:cat>
          <c:val>
            <c:numRef>
              <c:f>'All Analysis'!$F$174:$F$175</c:f>
              <c:numCache>
                <c:formatCode>0.00%</c:formatCode>
                <c:ptCount val="2"/>
                <c:pt idx="0">
                  <c:v>0.5810276679841897</c:v>
                </c:pt>
                <c:pt idx="1">
                  <c:v>0.44</c:v>
                </c:pt>
              </c:numCache>
            </c:numRef>
          </c:val>
          <c:extLst>
            <c:ext xmlns:c16="http://schemas.microsoft.com/office/drawing/2014/chart" uri="{C3380CC4-5D6E-409C-BE32-E72D297353CC}">
              <c16:uniqueId val="{00000000-2592-4EE6-BA0B-D86A470644FB}"/>
            </c:ext>
          </c:extLst>
        </c:ser>
        <c:dLbls>
          <c:dLblPos val="outEnd"/>
          <c:showLegendKey val="0"/>
          <c:showVal val="1"/>
          <c:showCatName val="0"/>
          <c:showSerName val="0"/>
          <c:showPercent val="0"/>
          <c:showBubbleSize val="0"/>
        </c:dLbls>
        <c:gapWidth val="219"/>
        <c:overlap val="-27"/>
        <c:axId val="583131760"/>
        <c:axId val="583138480"/>
      </c:barChart>
      <c:catAx>
        <c:axId val="5831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Aptos Display" panose="020B0004020202020204" pitchFamily="34" charset="0"/>
                <a:ea typeface="+mn-ea"/>
                <a:cs typeface="+mn-cs"/>
              </a:defRPr>
            </a:pPr>
            <a:endParaRPr lang="LID4096"/>
          </a:p>
        </c:txPr>
        <c:crossAx val="583138480"/>
        <c:crosses val="autoZero"/>
        <c:auto val="1"/>
        <c:lblAlgn val="ctr"/>
        <c:lblOffset val="100"/>
        <c:noMultiLvlLbl val="0"/>
      </c:catAx>
      <c:valAx>
        <c:axId val="5831384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r>
                  <a:rPr lang="en-IN" b="1">
                    <a:solidFill>
                      <a:schemeClr val="tx1"/>
                    </a:solidFill>
                  </a:rPr>
                  <a:t>Return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crossAx val="58313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ptos Display" panose="020B0004020202020204" pitchFamily="34" charset="0"/>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r>
              <a:rPr lang="en-IN" sz="1600" b="1">
                <a:solidFill>
                  <a:schemeClr val="tx1"/>
                </a:solidFill>
              </a:rPr>
              <a:t>Order Source Analysis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Analysis'!$M$173</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Analysis'!$H$174:$H$176</c:f>
              <c:strCache>
                <c:ptCount val="3"/>
                <c:pt idx="0">
                  <c:v>Instagram Shop</c:v>
                </c:pt>
                <c:pt idx="1">
                  <c:v>Mobile App</c:v>
                </c:pt>
                <c:pt idx="2">
                  <c:v>Website</c:v>
                </c:pt>
              </c:strCache>
            </c:strRef>
          </c:cat>
          <c:val>
            <c:numRef>
              <c:f>'All Analysis'!$M$174:$M$176</c:f>
              <c:numCache>
                <c:formatCode>0.00%</c:formatCode>
                <c:ptCount val="3"/>
                <c:pt idx="0">
                  <c:v>0.67619047619047623</c:v>
                </c:pt>
                <c:pt idx="1">
                  <c:v>0.56481481481481477</c:v>
                </c:pt>
                <c:pt idx="2">
                  <c:v>0.41739130434782606</c:v>
                </c:pt>
              </c:numCache>
            </c:numRef>
          </c:val>
          <c:extLst>
            <c:ext xmlns:c16="http://schemas.microsoft.com/office/drawing/2014/chart" uri="{C3380CC4-5D6E-409C-BE32-E72D297353CC}">
              <c16:uniqueId val="{00000000-8453-4F70-B898-FB64D236C1AB}"/>
            </c:ext>
          </c:extLst>
        </c:ser>
        <c:dLbls>
          <c:dLblPos val="outEnd"/>
          <c:showLegendKey val="0"/>
          <c:showVal val="1"/>
          <c:showCatName val="0"/>
          <c:showSerName val="0"/>
          <c:showPercent val="0"/>
          <c:showBubbleSize val="0"/>
        </c:dLbls>
        <c:gapWidth val="219"/>
        <c:overlap val="-27"/>
        <c:axId val="1594965104"/>
        <c:axId val="1594966064"/>
      </c:barChart>
      <c:catAx>
        <c:axId val="159496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crossAx val="1594966064"/>
        <c:crosses val="autoZero"/>
        <c:auto val="1"/>
        <c:lblAlgn val="ctr"/>
        <c:lblOffset val="100"/>
        <c:noMultiLvlLbl val="0"/>
      </c:catAx>
      <c:valAx>
        <c:axId val="1594966064"/>
        <c:scaling>
          <c:orientation val="minMax"/>
        </c:scaling>
        <c:delete val="1"/>
        <c:axPos val="l"/>
        <c:title>
          <c:tx>
            <c:rich>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r>
                  <a:rPr lang="en-IN" b="1">
                    <a:solidFill>
                      <a:schemeClr val="tx1"/>
                    </a:solidFill>
                  </a:rPr>
                  <a:t>Return</a:t>
                </a:r>
                <a:r>
                  <a:rPr lang="en-IN" b="1" baseline="0">
                    <a:solidFill>
                      <a:schemeClr val="tx1"/>
                    </a:solidFill>
                  </a:rPr>
                  <a:t> Rate(%)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crossAx val="159496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r>
              <a:rPr lang="en-US" sz="1600" b="1">
                <a:solidFill>
                  <a:schemeClr val="tx1"/>
                </a:solidFill>
              </a:rPr>
              <a:t>Payment Method Analysis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Analysis'!$S$173</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Analysis'!$O$174:$O$178</c:f>
              <c:strCache>
                <c:ptCount val="5"/>
                <c:pt idx="0">
                  <c:v>COD</c:v>
                </c:pt>
                <c:pt idx="1">
                  <c:v>Debit Card</c:v>
                </c:pt>
                <c:pt idx="2">
                  <c:v>Credit Card</c:v>
                </c:pt>
                <c:pt idx="3">
                  <c:v>UPI</c:v>
                </c:pt>
                <c:pt idx="4">
                  <c:v>Wallet</c:v>
                </c:pt>
              </c:strCache>
            </c:strRef>
          </c:cat>
          <c:val>
            <c:numRef>
              <c:f>'All Analysis'!$S$174:$S$178</c:f>
              <c:numCache>
                <c:formatCode>0.00%</c:formatCode>
                <c:ptCount val="5"/>
                <c:pt idx="0">
                  <c:v>0.82608695652173914</c:v>
                </c:pt>
                <c:pt idx="1">
                  <c:v>0.71666666666666667</c:v>
                </c:pt>
                <c:pt idx="2">
                  <c:v>0.54545454545454541</c:v>
                </c:pt>
                <c:pt idx="3">
                  <c:v>0.42682926829268292</c:v>
                </c:pt>
                <c:pt idx="4">
                  <c:v>0.30769230769230771</c:v>
                </c:pt>
              </c:numCache>
            </c:numRef>
          </c:val>
          <c:extLst>
            <c:ext xmlns:c16="http://schemas.microsoft.com/office/drawing/2014/chart" uri="{C3380CC4-5D6E-409C-BE32-E72D297353CC}">
              <c16:uniqueId val="{00000000-4180-4DDB-A13E-91A35FAB4B78}"/>
            </c:ext>
          </c:extLst>
        </c:ser>
        <c:dLbls>
          <c:dLblPos val="outEnd"/>
          <c:showLegendKey val="0"/>
          <c:showVal val="1"/>
          <c:showCatName val="0"/>
          <c:showSerName val="0"/>
          <c:showPercent val="0"/>
          <c:showBubbleSize val="0"/>
        </c:dLbls>
        <c:gapWidth val="219"/>
        <c:overlap val="-27"/>
        <c:axId val="1082940672"/>
        <c:axId val="1082939232"/>
      </c:barChart>
      <c:catAx>
        <c:axId val="108294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crossAx val="1082939232"/>
        <c:crosses val="autoZero"/>
        <c:auto val="1"/>
        <c:lblAlgn val="ctr"/>
        <c:lblOffset val="100"/>
        <c:noMultiLvlLbl val="0"/>
      </c:catAx>
      <c:valAx>
        <c:axId val="1082939232"/>
        <c:scaling>
          <c:orientation val="minMax"/>
        </c:scaling>
        <c:delete val="1"/>
        <c:axPos val="l"/>
        <c:title>
          <c:tx>
            <c:rich>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r>
                  <a:rPr lang="en-IN" sz="1000" b="1" i="0" u="none" strike="noStrike" kern="1200" baseline="0">
                    <a:solidFill>
                      <a:schemeClr val="tx1"/>
                    </a:solidFill>
                    <a:latin typeface="Aptos Display" panose="020B0004020202020204" pitchFamily="34" charset="0"/>
                  </a:rPr>
                  <a:t>Return Rate(%)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crossAx val="108294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Aptos Display" panose="020B0004020202020204" pitchFamily="34" charset="0"/>
                <a:ea typeface="+mn-ea"/>
                <a:cs typeface="+mn-cs"/>
              </a:defRPr>
            </a:pPr>
            <a:r>
              <a:rPr lang="en-US" sz="1600" b="1">
                <a:solidFill>
                  <a:schemeClr val="tx1"/>
                </a:solidFill>
              </a:rPr>
              <a:t>Product</a:t>
            </a:r>
            <a:r>
              <a:rPr lang="en-US" sz="1600" b="1" baseline="0">
                <a:solidFill>
                  <a:schemeClr val="tx1"/>
                </a:solidFill>
              </a:rPr>
              <a:t> Category Analysis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Analysis'!$Y$173</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Analysis'!$U$174:$U$178</c:f>
              <c:strCache>
                <c:ptCount val="5"/>
                <c:pt idx="0">
                  <c:v>Outerwear</c:v>
                </c:pt>
                <c:pt idx="1">
                  <c:v>Dresses</c:v>
                </c:pt>
                <c:pt idx="2">
                  <c:v>Tops</c:v>
                </c:pt>
                <c:pt idx="3">
                  <c:v>Bottoms</c:v>
                </c:pt>
                <c:pt idx="4">
                  <c:v>Accessories</c:v>
                </c:pt>
              </c:strCache>
            </c:strRef>
          </c:cat>
          <c:val>
            <c:numRef>
              <c:f>'All Analysis'!$Y$174:$Y$178</c:f>
              <c:numCache>
                <c:formatCode>0.00%</c:formatCode>
                <c:ptCount val="5"/>
                <c:pt idx="0">
                  <c:v>0.8</c:v>
                </c:pt>
                <c:pt idx="1">
                  <c:v>0.66666666666666663</c:v>
                </c:pt>
                <c:pt idx="2">
                  <c:v>0.64179104477611937</c:v>
                </c:pt>
                <c:pt idx="3">
                  <c:v>0.38461538461538464</c:v>
                </c:pt>
                <c:pt idx="4">
                  <c:v>0.24615384615384617</c:v>
                </c:pt>
              </c:numCache>
            </c:numRef>
          </c:val>
          <c:extLst>
            <c:ext xmlns:c16="http://schemas.microsoft.com/office/drawing/2014/chart" uri="{C3380CC4-5D6E-409C-BE32-E72D297353CC}">
              <c16:uniqueId val="{00000000-7DE1-4377-BF9E-441F511003ED}"/>
            </c:ext>
          </c:extLst>
        </c:ser>
        <c:dLbls>
          <c:dLblPos val="outEnd"/>
          <c:showLegendKey val="0"/>
          <c:showVal val="1"/>
          <c:showCatName val="0"/>
          <c:showSerName val="0"/>
          <c:showPercent val="0"/>
          <c:showBubbleSize val="0"/>
        </c:dLbls>
        <c:gapWidth val="219"/>
        <c:overlap val="-27"/>
        <c:axId val="531859503"/>
        <c:axId val="531862383"/>
      </c:barChart>
      <c:catAx>
        <c:axId val="53185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crossAx val="531862383"/>
        <c:crosses val="autoZero"/>
        <c:auto val="1"/>
        <c:lblAlgn val="ctr"/>
        <c:lblOffset val="100"/>
        <c:noMultiLvlLbl val="0"/>
      </c:catAx>
      <c:valAx>
        <c:axId val="531862383"/>
        <c:scaling>
          <c:orientation val="minMax"/>
        </c:scaling>
        <c:delete val="1"/>
        <c:axPos val="l"/>
        <c:title>
          <c:tx>
            <c:rich>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r>
                  <a:rPr lang="en-IN" sz="1000" b="1" i="0" u="none" strike="noStrike" kern="1200" baseline="0">
                    <a:solidFill>
                      <a:schemeClr val="tx1"/>
                    </a:solidFill>
                    <a:latin typeface="Aptos Display" panose="020B0004020202020204" pitchFamily="34" charset="0"/>
                  </a:rPr>
                  <a:t>Return Rate(%)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crossAx val="53185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Aptos Display" panose="020B0004020202020204" pitchFamily="34" charset="0"/>
                <a:ea typeface="+mn-ea"/>
                <a:cs typeface="+mn-cs"/>
              </a:defRPr>
            </a:pPr>
            <a:r>
              <a:rPr lang="en-IN" sz="1800" b="1">
                <a:solidFill>
                  <a:schemeClr val="tx1"/>
                </a:solidFill>
              </a:rPr>
              <a:t>Order Volume Spikes Were Followed by Lagged Increase in Returns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Analysis'!$B$58</c:f>
              <c:strCache>
                <c:ptCount val="1"/>
                <c:pt idx="0">
                  <c:v>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Analysis'!$A$59:$A$72</c:f>
              <c:strCache>
                <c:ptCount val="14"/>
                <c:pt idx="0">
                  <c:v>02-12-2024</c:v>
                </c:pt>
                <c:pt idx="1">
                  <c:v>04-11-2024</c:v>
                </c:pt>
                <c:pt idx="2">
                  <c:v>07-10-2024</c:v>
                </c:pt>
                <c:pt idx="3">
                  <c:v>09-12-2024</c:v>
                </c:pt>
                <c:pt idx="4">
                  <c:v>11-11-2024</c:v>
                </c:pt>
                <c:pt idx="5">
                  <c:v>14-10-2024</c:v>
                </c:pt>
                <c:pt idx="6">
                  <c:v>16-12-2024</c:v>
                </c:pt>
                <c:pt idx="7">
                  <c:v>18-11-2024</c:v>
                </c:pt>
                <c:pt idx="8">
                  <c:v>21-10-2024</c:v>
                </c:pt>
                <c:pt idx="9">
                  <c:v>23-12-2024</c:v>
                </c:pt>
                <c:pt idx="10">
                  <c:v>25-11-2024</c:v>
                </c:pt>
                <c:pt idx="11">
                  <c:v>28-10-2024</c:v>
                </c:pt>
                <c:pt idx="12">
                  <c:v>30-09-2024</c:v>
                </c:pt>
                <c:pt idx="13">
                  <c:v>30-12-2024</c:v>
                </c:pt>
              </c:strCache>
            </c:strRef>
          </c:cat>
          <c:val>
            <c:numRef>
              <c:f>'All Analysis'!$B$59:$B$72</c:f>
              <c:numCache>
                <c:formatCode>General</c:formatCode>
                <c:ptCount val="14"/>
                <c:pt idx="0">
                  <c:v>28</c:v>
                </c:pt>
                <c:pt idx="1">
                  <c:v>21</c:v>
                </c:pt>
                <c:pt idx="2">
                  <c:v>30</c:v>
                </c:pt>
                <c:pt idx="3">
                  <c:v>28</c:v>
                </c:pt>
                <c:pt idx="4">
                  <c:v>21</c:v>
                </c:pt>
                <c:pt idx="5">
                  <c:v>28</c:v>
                </c:pt>
                <c:pt idx="6">
                  <c:v>28</c:v>
                </c:pt>
                <c:pt idx="7">
                  <c:v>21</c:v>
                </c:pt>
                <c:pt idx="8">
                  <c:v>27</c:v>
                </c:pt>
                <c:pt idx="9">
                  <c:v>28</c:v>
                </c:pt>
                <c:pt idx="10">
                  <c:v>22</c:v>
                </c:pt>
                <c:pt idx="11">
                  <c:v>33</c:v>
                </c:pt>
                <c:pt idx="12">
                  <c:v>26</c:v>
                </c:pt>
                <c:pt idx="13">
                  <c:v>5</c:v>
                </c:pt>
              </c:numCache>
            </c:numRef>
          </c:val>
          <c:extLst>
            <c:ext xmlns:c16="http://schemas.microsoft.com/office/drawing/2014/chart" uri="{C3380CC4-5D6E-409C-BE32-E72D297353CC}">
              <c16:uniqueId val="{00000000-CFD4-43D6-BF1A-F5D943FB4098}"/>
            </c:ext>
          </c:extLst>
        </c:ser>
        <c:dLbls>
          <c:showLegendKey val="0"/>
          <c:showVal val="1"/>
          <c:showCatName val="0"/>
          <c:showSerName val="0"/>
          <c:showPercent val="0"/>
          <c:showBubbleSize val="0"/>
        </c:dLbls>
        <c:gapWidth val="219"/>
        <c:overlap val="-27"/>
        <c:axId val="1195711296"/>
        <c:axId val="1195708416"/>
      </c:barChart>
      <c:lineChart>
        <c:grouping val="standard"/>
        <c:varyColors val="0"/>
        <c:ser>
          <c:idx val="1"/>
          <c:order val="1"/>
          <c:tx>
            <c:strRef>
              <c:f>'All Analysis'!$C$58</c:f>
              <c:strCache>
                <c:ptCount val="1"/>
                <c:pt idx="0">
                  <c:v>Weekly Return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Analysis'!$A$59:$A$72</c:f>
              <c:strCache>
                <c:ptCount val="14"/>
                <c:pt idx="0">
                  <c:v>02-12-2024</c:v>
                </c:pt>
                <c:pt idx="1">
                  <c:v>04-11-2024</c:v>
                </c:pt>
                <c:pt idx="2">
                  <c:v>07-10-2024</c:v>
                </c:pt>
                <c:pt idx="3">
                  <c:v>09-12-2024</c:v>
                </c:pt>
                <c:pt idx="4">
                  <c:v>11-11-2024</c:v>
                </c:pt>
                <c:pt idx="5">
                  <c:v>14-10-2024</c:v>
                </c:pt>
                <c:pt idx="6">
                  <c:v>16-12-2024</c:v>
                </c:pt>
                <c:pt idx="7">
                  <c:v>18-11-2024</c:v>
                </c:pt>
                <c:pt idx="8">
                  <c:v>21-10-2024</c:v>
                </c:pt>
                <c:pt idx="9">
                  <c:v>23-12-2024</c:v>
                </c:pt>
                <c:pt idx="10">
                  <c:v>25-11-2024</c:v>
                </c:pt>
                <c:pt idx="11">
                  <c:v>28-10-2024</c:v>
                </c:pt>
                <c:pt idx="12">
                  <c:v>30-09-2024</c:v>
                </c:pt>
                <c:pt idx="13">
                  <c:v>30-12-2024</c:v>
                </c:pt>
              </c:strCache>
            </c:strRef>
          </c:cat>
          <c:val>
            <c:numRef>
              <c:f>'All Analysis'!$C$59:$C$72</c:f>
              <c:numCache>
                <c:formatCode>0.00%</c:formatCode>
                <c:ptCount val="14"/>
                <c:pt idx="0">
                  <c:v>0.40740740740740738</c:v>
                </c:pt>
                <c:pt idx="1">
                  <c:v>0.55000000000000004</c:v>
                </c:pt>
                <c:pt idx="2">
                  <c:v>0.39285714285714285</c:v>
                </c:pt>
                <c:pt idx="3">
                  <c:v>0.59259259259259256</c:v>
                </c:pt>
                <c:pt idx="4">
                  <c:v>0.6</c:v>
                </c:pt>
                <c:pt idx="5">
                  <c:v>0.5</c:v>
                </c:pt>
                <c:pt idx="6">
                  <c:v>0.6071428571428571</c:v>
                </c:pt>
                <c:pt idx="7">
                  <c:v>0.55000000000000004</c:v>
                </c:pt>
                <c:pt idx="8">
                  <c:v>0.41666666666666669</c:v>
                </c:pt>
                <c:pt idx="9">
                  <c:v>0.6071428571428571</c:v>
                </c:pt>
                <c:pt idx="10">
                  <c:v>0.61904761904761907</c:v>
                </c:pt>
                <c:pt idx="11">
                  <c:v>0.77419354838709675</c:v>
                </c:pt>
                <c:pt idx="12">
                  <c:v>0.47826086956521741</c:v>
                </c:pt>
                <c:pt idx="13">
                  <c:v>0.6</c:v>
                </c:pt>
              </c:numCache>
            </c:numRef>
          </c:val>
          <c:smooth val="0"/>
          <c:extLst>
            <c:ext xmlns:c16="http://schemas.microsoft.com/office/drawing/2014/chart" uri="{C3380CC4-5D6E-409C-BE32-E72D297353CC}">
              <c16:uniqueId val="{00000001-CFD4-43D6-BF1A-F5D943FB4098}"/>
            </c:ext>
          </c:extLst>
        </c:ser>
        <c:dLbls>
          <c:showLegendKey val="0"/>
          <c:showVal val="1"/>
          <c:showCatName val="0"/>
          <c:showSerName val="0"/>
          <c:showPercent val="0"/>
          <c:showBubbleSize val="0"/>
        </c:dLbls>
        <c:marker val="1"/>
        <c:smooth val="0"/>
        <c:axId val="1576346896"/>
        <c:axId val="1576351696"/>
      </c:lineChart>
      <c:catAx>
        <c:axId val="119571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IN" sz="1200">
                    <a:solidFill>
                      <a:schemeClr val="tx1"/>
                    </a:solidFill>
                  </a:rPr>
                  <a:t>Week Start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1195708416"/>
        <c:crosses val="autoZero"/>
        <c:auto val="1"/>
        <c:lblAlgn val="ctr"/>
        <c:lblOffset val="100"/>
        <c:noMultiLvlLbl val="0"/>
      </c:catAx>
      <c:valAx>
        <c:axId val="1195708416"/>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r>
                  <a:rPr lang="en-IN" sz="1400">
                    <a:solidFill>
                      <a:schemeClr val="tx1"/>
                    </a:solidFill>
                  </a:rPr>
                  <a:t>Total Orders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1195711296"/>
        <c:crosses val="autoZero"/>
        <c:crossBetween val="between"/>
      </c:valAx>
      <c:valAx>
        <c:axId val="15763516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IN" sz="1200">
                    <a:solidFill>
                      <a:schemeClr val="tx1"/>
                    </a:solidFill>
                  </a:rPr>
                  <a:t>Weekly Return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1576346896"/>
        <c:crosses val="max"/>
        <c:crossBetween val="between"/>
      </c:valAx>
      <c:catAx>
        <c:axId val="1576346896"/>
        <c:scaling>
          <c:orientation val="minMax"/>
        </c:scaling>
        <c:delete val="1"/>
        <c:axPos val="b"/>
        <c:numFmt formatCode="General" sourceLinked="1"/>
        <c:majorTickMark val="out"/>
        <c:minorTickMark val="none"/>
        <c:tickLblPos val="nextTo"/>
        <c:crossAx val="15763516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Aptos Display" panose="020B0004020202020204" pitchFamily="34" charset="0"/>
                <a:ea typeface="+mn-ea"/>
                <a:cs typeface="+mn-cs"/>
              </a:defRPr>
            </a:pPr>
            <a:r>
              <a:rPr lang="en-IN" sz="1600" b="1" i="0" u="none" strike="noStrike" baseline="0">
                <a:effectLst/>
              </a:rPr>
              <a:t>Customer Type (New vs Returning)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'All Analysis'!$F$173</c:f>
              <c:strCache>
                <c:ptCount val="1"/>
                <c:pt idx="0">
                  <c:v>Return Rate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062D-46CD-B099-199FAF5531B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Analysis'!$A$174:$A$175</c:f>
              <c:strCache>
                <c:ptCount val="2"/>
                <c:pt idx="0">
                  <c:v>New</c:v>
                </c:pt>
                <c:pt idx="1">
                  <c:v>Returning</c:v>
                </c:pt>
              </c:strCache>
            </c:strRef>
          </c:cat>
          <c:val>
            <c:numRef>
              <c:f>'All Analysis'!$F$174:$F$175</c:f>
              <c:numCache>
                <c:formatCode>0.00%</c:formatCode>
                <c:ptCount val="2"/>
                <c:pt idx="0">
                  <c:v>0.5810276679841897</c:v>
                </c:pt>
                <c:pt idx="1">
                  <c:v>0.44</c:v>
                </c:pt>
              </c:numCache>
            </c:numRef>
          </c:val>
          <c:extLst>
            <c:ext xmlns:c16="http://schemas.microsoft.com/office/drawing/2014/chart" uri="{C3380CC4-5D6E-409C-BE32-E72D297353CC}">
              <c16:uniqueId val="{00000002-062D-46CD-B099-199FAF5531BE}"/>
            </c:ext>
          </c:extLst>
        </c:ser>
        <c:dLbls>
          <c:dLblPos val="outEnd"/>
          <c:showLegendKey val="0"/>
          <c:showVal val="1"/>
          <c:showCatName val="0"/>
          <c:showSerName val="0"/>
          <c:showPercent val="0"/>
          <c:showBubbleSize val="0"/>
        </c:dLbls>
        <c:gapWidth val="219"/>
        <c:overlap val="-27"/>
        <c:axId val="583131760"/>
        <c:axId val="583138480"/>
      </c:barChart>
      <c:catAx>
        <c:axId val="5831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Aptos Display" panose="020B0004020202020204" pitchFamily="34" charset="0"/>
                <a:ea typeface="+mn-ea"/>
                <a:cs typeface="+mn-cs"/>
              </a:defRPr>
            </a:pPr>
            <a:endParaRPr lang="LID4096"/>
          </a:p>
        </c:txPr>
        <c:crossAx val="583138480"/>
        <c:crosses val="autoZero"/>
        <c:auto val="1"/>
        <c:lblAlgn val="ctr"/>
        <c:lblOffset val="100"/>
        <c:noMultiLvlLbl val="0"/>
      </c:catAx>
      <c:valAx>
        <c:axId val="5831384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r>
                  <a:rPr lang="en-IN" b="1">
                    <a:solidFill>
                      <a:schemeClr val="tx1"/>
                    </a:solidFill>
                  </a:rPr>
                  <a:t>Return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crossAx val="58313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ptos Display" panose="020B0004020202020204" pitchFamily="34" charset="0"/>
        </a:defRPr>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r>
              <a:rPr lang="en-IN" sz="1600" b="1">
                <a:solidFill>
                  <a:schemeClr val="tx1"/>
                </a:solidFill>
              </a:rPr>
              <a:t>Order Source Analysis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Analysis'!$M$173</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Analysis'!$H$174:$H$176</c:f>
              <c:strCache>
                <c:ptCount val="3"/>
                <c:pt idx="0">
                  <c:v>Instagram Shop</c:v>
                </c:pt>
                <c:pt idx="1">
                  <c:v>Mobile App</c:v>
                </c:pt>
                <c:pt idx="2">
                  <c:v>Website</c:v>
                </c:pt>
              </c:strCache>
            </c:strRef>
          </c:cat>
          <c:val>
            <c:numRef>
              <c:f>'All Analysis'!$M$174:$M$176</c:f>
              <c:numCache>
                <c:formatCode>0.00%</c:formatCode>
                <c:ptCount val="3"/>
                <c:pt idx="0">
                  <c:v>0.67619047619047623</c:v>
                </c:pt>
                <c:pt idx="1">
                  <c:v>0.56481481481481477</c:v>
                </c:pt>
                <c:pt idx="2">
                  <c:v>0.41739130434782606</c:v>
                </c:pt>
              </c:numCache>
            </c:numRef>
          </c:val>
          <c:extLst>
            <c:ext xmlns:c16="http://schemas.microsoft.com/office/drawing/2014/chart" uri="{C3380CC4-5D6E-409C-BE32-E72D297353CC}">
              <c16:uniqueId val="{00000000-C860-408F-A066-26E73A59680C}"/>
            </c:ext>
          </c:extLst>
        </c:ser>
        <c:dLbls>
          <c:dLblPos val="outEnd"/>
          <c:showLegendKey val="0"/>
          <c:showVal val="1"/>
          <c:showCatName val="0"/>
          <c:showSerName val="0"/>
          <c:showPercent val="0"/>
          <c:showBubbleSize val="0"/>
        </c:dLbls>
        <c:gapWidth val="219"/>
        <c:overlap val="-27"/>
        <c:axId val="1594965104"/>
        <c:axId val="1594966064"/>
      </c:barChart>
      <c:catAx>
        <c:axId val="159496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crossAx val="1594966064"/>
        <c:crosses val="autoZero"/>
        <c:auto val="1"/>
        <c:lblAlgn val="ctr"/>
        <c:lblOffset val="100"/>
        <c:noMultiLvlLbl val="0"/>
      </c:catAx>
      <c:valAx>
        <c:axId val="1594966064"/>
        <c:scaling>
          <c:orientation val="minMax"/>
        </c:scaling>
        <c:delete val="1"/>
        <c:axPos val="l"/>
        <c:title>
          <c:tx>
            <c:rich>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r>
                  <a:rPr lang="en-IN" b="1">
                    <a:solidFill>
                      <a:schemeClr val="tx1"/>
                    </a:solidFill>
                  </a:rPr>
                  <a:t>Return</a:t>
                </a:r>
                <a:r>
                  <a:rPr lang="en-IN" b="1" baseline="0">
                    <a:solidFill>
                      <a:schemeClr val="tx1"/>
                    </a:solidFill>
                  </a:rPr>
                  <a:t> Rate(%)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en-IN"/>
            </a:p>
          </c:txPr>
        </c:title>
        <c:numFmt formatCode="0.00%" sourceLinked="1"/>
        <c:majorTickMark val="none"/>
        <c:minorTickMark val="none"/>
        <c:tickLblPos val="nextTo"/>
        <c:crossAx val="159496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r>
              <a:rPr lang="en-US" sz="1600" b="1">
                <a:solidFill>
                  <a:schemeClr val="tx1"/>
                </a:solidFill>
              </a:rPr>
              <a:t>Payment Method Analysis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'All Analysis'!$S$173</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Analysis'!$O$174:$O$178</c:f>
              <c:strCache>
                <c:ptCount val="5"/>
                <c:pt idx="0">
                  <c:v>COD</c:v>
                </c:pt>
                <c:pt idx="1">
                  <c:v>Debit Card</c:v>
                </c:pt>
                <c:pt idx="2">
                  <c:v>Credit Card</c:v>
                </c:pt>
                <c:pt idx="3">
                  <c:v>UPI</c:v>
                </c:pt>
                <c:pt idx="4">
                  <c:v>Wallet</c:v>
                </c:pt>
              </c:strCache>
            </c:strRef>
          </c:cat>
          <c:val>
            <c:numRef>
              <c:f>'All Analysis'!$S$174:$S$178</c:f>
              <c:numCache>
                <c:formatCode>0.00%</c:formatCode>
                <c:ptCount val="5"/>
                <c:pt idx="0">
                  <c:v>0.82608695652173914</c:v>
                </c:pt>
                <c:pt idx="1">
                  <c:v>0.71666666666666667</c:v>
                </c:pt>
                <c:pt idx="2">
                  <c:v>0.54545454545454541</c:v>
                </c:pt>
                <c:pt idx="3">
                  <c:v>0.42682926829268292</c:v>
                </c:pt>
                <c:pt idx="4">
                  <c:v>0.30769230769230771</c:v>
                </c:pt>
              </c:numCache>
            </c:numRef>
          </c:val>
          <c:extLst>
            <c:ext xmlns:c16="http://schemas.microsoft.com/office/drawing/2014/chart" uri="{C3380CC4-5D6E-409C-BE32-E72D297353CC}">
              <c16:uniqueId val="{00000000-92AF-4D03-92AE-59AE97D67B8C}"/>
            </c:ext>
          </c:extLst>
        </c:ser>
        <c:dLbls>
          <c:dLblPos val="outEnd"/>
          <c:showLegendKey val="0"/>
          <c:showVal val="1"/>
          <c:showCatName val="0"/>
          <c:showSerName val="0"/>
          <c:showPercent val="0"/>
          <c:showBubbleSize val="0"/>
        </c:dLbls>
        <c:gapWidth val="219"/>
        <c:overlap val="-27"/>
        <c:axId val="1082940672"/>
        <c:axId val="1082939232"/>
      </c:barChart>
      <c:catAx>
        <c:axId val="108294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crossAx val="1082939232"/>
        <c:crosses val="autoZero"/>
        <c:auto val="1"/>
        <c:lblAlgn val="ctr"/>
        <c:lblOffset val="100"/>
        <c:noMultiLvlLbl val="0"/>
      </c:catAx>
      <c:valAx>
        <c:axId val="1082939232"/>
        <c:scaling>
          <c:orientation val="minMax"/>
        </c:scaling>
        <c:delete val="1"/>
        <c:axPos val="l"/>
        <c:title>
          <c:tx>
            <c:rich>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r>
                  <a:rPr lang="en-IN" sz="1000" b="1" i="0" u="none" strike="noStrike" kern="1200" baseline="0">
                    <a:solidFill>
                      <a:schemeClr val="tx1"/>
                    </a:solidFill>
                    <a:latin typeface="Aptos Display" panose="020B0004020202020204" pitchFamily="34" charset="0"/>
                  </a:rPr>
                  <a:t>Return Rate(%)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crossAx val="108294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Aptos Display" panose="020B0004020202020204" pitchFamily="34" charset="0"/>
                <a:ea typeface="+mn-ea"/>
                <a:cs typeface="+mn-cs"/>
              </a:defRPr>
            </a:pPr>
            <a:r>
              <a:rPr lang="en-US" sz="1600" b="1">
                <a:solidFill>
                  <a:schemeClr val="tx1"/>
                </a:solidFill>
              </a:rPr>
              <a:t>Product</a:t>
            </a:r>
            <a:r>
              <a:rPr lang="en-US" sz="1600" b="1" baseline="0">
                <a:solidFill>
                  <a:schemeClr val="tx1"/>
                </a:solidFill>
              </a:rPr>
              <a:t> Category Analysis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Aptos Display"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'All Analysis'!$Y$173</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Analysis'!$U$174:$U$178</c:f>
              <c:strCache>
                <c:ptCount val="5"/>
                <c:pt idx="0">
                  <c:v>Outerwear</c:v>
                </c:pt>
                <c:pt idx="1">
                  <c:v>Dresses</c:v>
                </c:pt>
                <c:pt idx="2">
                  <c:v>Tops</c:v>
                </c:pt>
                <c:pt idx="3">
                  <c:v>Bottoms</c:v>
                </c:pt>
                <c:pt idx="4">
                  <c:v>Accessories</c:v>
                </c:pt>
              </c:strCache>
            </c:strRef>
          </c:cat>
          <c:val>
            <c:numRef>
              <c:f>'All Analysis'!$Y$174:$Y$178</c:f>
              <c:numCache>
                <c:formatCode>0.00%</c:formatCode>
                <c:ptCount val="5"/>
                <c:pt idx="0">
                  <c:v>0.8</c:v>
                </c:pt>
                <c:pt idx="1">
                  <c:v>0.66666666666666663</c:v>
                </c:pt>
                <c:pt idx="2">
                  <c:v>0.64179104477611937</c:v>
                </c:pt>
                <c:pt idx="3">
                  <c:v>0.38461538461538464</c:v>
                </c:pt>
                <c:pt idx="4">
                  <c:v>0.24615384615384617</c:v>
                </c:pt>
              </c:numCache>
            </c:numRef>
          </c:val>
          <c:extLst>
            <c:ext xmlns:c16="http://schemas.microsoft.com/office/drawing/2014/chart" uri="{C3380CC4-5D6E-409C-BE32-E72D297353CC}">
              <c16:uniqueId val="{00000000-ED08-413C-8963-2AA4A4662FFD}"/>
            </c:ext>
          </c:extLst>
        </c:ser>
        <c:dLbls>
          <c:dLblPos val="outEnd"/>
          <c:showLegendKey val="0"/>
          <c:showVal val="1"/>
          <c:showCatName val="0"/>
          <c:showSerName val="0"/>
          <c:showPercent val="0"/>
          <c:showBubbleSize val="0"/>
        </c:dLbls>
        <c:gapWidth val="219"/>
        <c:overlap val="-27"/>
        <c:axId val="531859503"/>
        <c:axId val="531862383"/>
      </c:barChart>
      <c:catAx>
        <c:axId val="53185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crossAx val="531862383"/>
        <c:crosses val="autoZero"/>
        <c:auto val="1"/>
        <c:lblAlgn val="ctr"/>
        <c:lblOffset val="100"/>
        <c:noMultiLvlLbl val="0"/>
      </c:catAx>
      <c:valAx>
        <c:axId val="531862383"/>
        <c:scaling>
          <c:orientation val="minMax"/>
        </c:scaling>
        <c:delete val="1"/>
        <c:axPos val="l"/>
        <c:title>
          <c:tx>
            <c:rich>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r>
                  <a:rPr lang="en-IN" sz="1000" b="1" i="0" u="none" strike="noStrike" kern="1200" baseline="0">
                    <a:solidFill>
                      <a:schemeClr val="tx1"/>
                    </a:solidFill>
                    <a:latin typeface="Aptos Display" panose="020B0004020202020204" pitchFamily="34" charset="0"/>
                  </a:rPr>
                  <a:t>Return Rate(%)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crossAx val="53185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Aptos Display" panose="020B0004020202020204" pitchFamily="34" charset="0"/>
                <a:ea typeface="+mn-ea"/>
                <a:cs typeface="+mn-cs"/>
              </a:defRPr>
            </a:pPr>
            <a:r>
              <a:rPr lang="en-IN" sz="2000" b="1"/>
              <a:t>Viz</a:t>
            </a:r>
            <a:r>
              <a:rPr lang="en-IN" sz="2000" b="1" baseline="0"/>
              <a:t> 1 - </a:t>
            </a:r>
            <a:r>
              <a:rPr lang="en-IN" sz="2000" b="1"/>
              <a:t>Weekly Order Volume vs Return Rate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'Data Visualization'!$B$7</c:f>
              <c:strCache>
                <c:ptCount val="1"/>
                <c:pt idx="0">
                  <c:v>Total Orders</c:v>
                </c:pt>
              </c:strCache>
            </c:strRef>
          </c:tx>
          <c:spPr>
            <a:solidFill>
              <a:schemeClr val="accent1"/>
            </a:solidFill>
            <a:ln>
              <a:noFill/>
            </a:ln>
            <a:effectLst/>
          </c:spPr>
          <c:invertIfNegative val="0"/>
          <c:cat>
            <c:numRef>
              <c:f>'Data Visualization'!$A$8:$A$21</c:f>
              <c:numCache>
                <c:formatCode>m/d/yyyy</c:formatCode>
                <c:ptCount val="14"/>
                <c:pt idx="0">
                  <c:v>45565</c:v>
                </c:pt>
                <c:pt idx="1">
                  <c:v>45572</c:v>
                </c:pt>
                <c:pt idx="2">
                  <c:v>45579</c:v>
                </c:pt>
                <c:pt idx="3">
                  <c:v>45586</c:v>
                </c:pt>
                <c:pt idx="4">
                  <c:v>45593</c:v>
                </c:pt>
                <c:pt idx="5">
                  <c:v>45600</c:v>
                </c:pt>
                <c:pt idx="6">
                  <c:v>45607</c:v>
                </c:pt>
                <c:pt idx="7">
                  <c:v>45614</c:v>
                </c:pt>
                <c:pt idx="8">
                  <c:v>45621</c:v>
                </c:pt>
                <c:pt idx="9">
                  <c:v>45628</c:v>
                </c:pt>
                <c:pt idx="10">
                  <c:v>45635</c:v>
                </c:pt>
                <c:pt idx="11">
                  <c:v>45642</c:v>
                </c:pt>
                <c:pt idx="12">
                  <c:v>45649</c:v>
                </c:pt>
                <c:pt idx="13">
                  <c:v>45656</c:v>
                </c:pt>
              </c:numCache>
            </c:numRef>
          </c:cat>
          <c:val>
            <c:numRef>
              <c:f>'Data Visualization'!$B$8:$B$21</c:f>
              <c:numCache>
                <c:formatCode>General</c:formatCode>
                <c:ptCount val="14"/>
                <c:pt idx="0">
                  <c:v>26</c:v>
                </c:pt>
                <c:pt idx="1">
                  <c:v>30</c:v>
                </c:pt>
                <c:pt idx="2">
                  <c:v>28</c:v>
                </c:pt>
                <c:pt idx="3">
                  <c:v>27</c:v>
                </c:pt>
                <c:pt idx="4">
                  <c:v>33</c:v>
                </c:pt>
                <c:pt idx="5">
                  <c:v>21</c:v>
                </c:pt>
                <c:pt idx="6">
                  <c:v>21</c:v>
                </c:pt>
                <c:pt idx="7">
                  <c:v>21</c:v>
                </c:pt>
                <c:pt idx="8">
                  <c:v>22</c:v>
                </c:pt>
                <c:pt idx="9">
                  <c:v>28</c:v>
                </c:pt>
                <c:pt idx="10">
                  <c:v>28</c:v>
                </c:pt>
                <c:pt idx="11">
                  <c:v>28</c:v>
                </c:pt>
                <c:pt idx="12">
                  <c:v>28</c:v>
                </c:pt>
                <c:pt idx="13">
                  <c:v>5</c:v>
                </c:pt>
              </c:numCache>
            </c:numRef>
          </c:val>
          <c:extLst>
            <c:ext xmlns:c16="http://schemas.microsoft.com/office/drawing/2014/chart" uri="{C3380CC4-5D6E-409C-BE32-E72D297353CC}">
              <c16:uniqueId val="{00000000-93A3-458A-97F4-3C0032FA9A14}"/>
            </c:ext>
          </c:extLst>
        </c:ser>
        <c:dLbls>
          <c:showLegendKey val="0"/>
          <c:showVal val="0"/>
          <c:showCatName val="0"/>
          <c:showSerName val="0"/>
          <c:showPercent val="0"/>
          <c:showBubbleSize val="0"/>
        </c:dLbls>
        <c:gapWidth val="219"/>
        <c:overlap val="-27"/>
        <c:axId val="236674127"/>
        <c:axId val="549212496"/>
      </c:barChart>
      <c:lineChart>
        <c:grouping val="standard"/>
        <c:varyColors val="0"/>
        <c:ser>
          <c:idx val="1"/>
          <c:order val="1"/>
          <c:tx>
            <c:strRef>
              <c:f>'Data Visualization'!$D$7</c:f>
              <c:strCache>
                <c:ptCount val="1"/>
                <c:pt idx="0">
                  <c:v>Return Rate</c:v>
                </c:pt>
              </c:strCache>
            </c:strRef>
          </c:tx>
          <c:spPr>
            <a:ln w="28575" cap="rnd">
              <a:solidFill>
                <a:schemeClr val="accent2"/>
              </a:solidFill>
              <a:round/>
            </a:ln>
            <a:effectLst/>
          </c:spPr>
          <c:marker>
            <c:symbol val="none"/>
          </c:marker>
          <c:cat>
            <c:numRef>
              <c:f>'Data Visualization'!$A$8:$A$21</c:f>
              <c:numCache>
                <c:formatCode>m/d/yyyy</c:formatCode>
                <c:ptCount val="14"/>
                <c:pt idx="0">
                  <c:v>45565</c:v>
                </c:pt>
                <c:pt idx="1">
                  <c:v>45572</c:v>
                </c:pt>
                <c:pt idx="2">
                  <c:v>45579</c:v>
                </c:pt>
                <c:pt idx="3">
                  <c:v>45586</c:v>
                </c:pt>
                <c:pt idx="4">
                  <c:v>45593</c:v>
                </c:pt>
                <c:pt idx="5">
                  <c:v>45600</c:v>
                </c:pt>
                <c:pt idx="6">
                  <c:v>45607</c:v>
                </c:pt>
                <c:pt idx="7">
                  <c:v>45614</c:v>
                </c:pt>
                <c:pt idx="8">
                  <c:v>45621</c:v>
                </c:pt>
                <c:pt idx="9">
                  <c:v>45628</c:v>
                </c:pt>
                <c:pt idx="10">
                  <c:v>45635</c:v>
                </c:pt>
                <c:pt idx="11">
                  <c:v>45642</c:v>
                </c:pt>
                <c:pt idx="12">
                  <c:v>45649</c:v>
                </c:pt>
                <c:pt idx="13">
                  <c:v>45656</c:v>
                </c:pt>
              </c:numCache>
            </c:numRef>
          </c:cat>
          <c:val>
            <c:numRef>
              <c:f>'Data Visualization'!$D$8:$D$21</c:f>
              <c:numCache>
                <c:formatCode>0.00%</c:formatCode>
                <c:ptCount val="14"/>
                <c:pt idx="0">
                  <c:v>0.6</c:v>
                </c:pt>
                <c:pt idx="1">
                  <c:v>0.6071428571428571</c:v>
                </c:pt>
                <c:pt idx="2">
                  <c:v>0.6071428571428571</c:v>
                </c:pt>
                <c:pt idx="3">
                  <c:v>0.5714285714285714</c:v>
                </c:pt>
                <c:pt idx="4">
                  <c:v>0.39285714285714285</c:v>
                </c:pt>
                <c:pt idx="5">
                  <c:v>0.59090909090909094</c:v>
                </c:pt>
                <c:pt idx="6">
                  <c:v>0.52380952380952384</c:v>
                </c:pt>
                <c:pt idx="7">
                  <c:v>0.5714285714285714</c:v>
                </c:pt>
                <c:pt idx="8">
                  <c:v>0.52380952380952384</c:v>
                </c:pt>
                <c:pt idx="9">
                  <c:v>0.72727272727272729</c:v>
                </c:pt>
                <c:pt idx="10">
                  <c:v>0.37037037037037035</c:v>
                </c:pt>
                <c:pt idx="11">
                  <c:v>0.4642857142857143</c:v>
                </c:pt>
                <c:pt idx="12">
                  <c:v>0.36666666666666664</c:v>
                </c:pt>
                <c:pt idx="13">
                  <c:v>0.42307692307692307</c:v>
                </c:pt>
              </c:numCache>
            </c:numRef>
          </c:val>
          <c:smooth val="0"/>
          <c:extLst>
            <c:ext xmlns:c16="http://schemas.microsoft.com/office/drawing/2014/chart" uri="{C3380CC4-5D6E-409C-BE32-E72D297353CC}">
              <c16:uniqueId val="{00000001-93A3-458A-97F4-3C0032FA9A14}"/>
            </c:ext>
          </c:extLst>
        </c:ser>
        <c:dLbls>
          <c:showLegendKey val="0"/>
          <c:showVal val="0"/>
          <c:showCatName val="0"/>
          <c:showSerName val="0"/>
          <c:showPercent val="0"/>
          <c:showBubbleSize val="0"/>
        </c:dLbls>
        <c:marker val="1"/>
        <c:smooth val="0"/>
        <c:axId val="1580123744"/>
        <c:axId val="1580122304"/>
      </c:lineChart>
      <c:dateAx>
        <c:axId val="23667412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endParaRPr lang="LID4096"/>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549212496"/>
        <c:crosses val="autoZero"/>
        <c:auto val="1"/>
        <c:lblOffset val="100"/>
        <c:baseTimeUnit val="days"/>
      </c:dateAx>
      <c:valAx>
        <c:axId val="54921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r>
                  <a:rPr lang="en-IN"/>
                  <a:t>Weekly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236674127"/>
        <c:crosses val="autoZero"/>
        <c:crossBetween val="between"/>
      </c:valAx>
      <c:valAx>
        <c:axId val="158012230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r>
                  <a:rPr lang="en-IN"/>
                  <a:t>Return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ptos Display" panose="020B0004020202020204" pitchFamily="34" charset="0"/>
                  <a:ea typeface="+mn-ea"/>
                  <a:cs typeface="+mn-cs"/>
                </a:defRPr>
              </a:pPr>
              <a:endParaRPr lang="LID4096"/>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1580123744"/>
        <c:crosses val="max"/>
        <c:crossBetween val="between"/>
      </c:valAx>
      <c:dateAx>
        <c:axId val="1580123744"/>
        <c:scaling>
          <c:orientation val="minMax"/>
        </c:scaling>
        <c:delete val="1"/>
        <c:axPos val="b"/>
        <c:numFmt formatCode="m/d/yyyy" sourceLinked="1"/>
        <c:majorTickMark val="out"/>
        <c:minorTickMark val="none"/>
        <c:tickLblPos val="nextTo"/>
        <c:crossAx val="1580122304"/>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chemeClr val="tx1"/>
          </a:solidFill>
          <a:latin typeface="Aptos Display" panose="020B0004020202020204" pitchFamily="34" charset="0"/>
        </a:defRPr>
      </a:pPr>
      <a:endParaRPr lang="LID4096"/>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Aptos Display" panose="020B0004020202020204" pitchFamily="34" charset="0"/>
                <a:ea typeface="+mn-ea"/>
                <a:cs typeface="+mn-cs"/>
              </a:defRPr>
            </a:pPr>
            <a:r>
              <a:rPr lang="en-IN" sz="1800" b="1" i="0" u="none" strike="noStrike" kern="1200" spc="0" baseline="0">
                <a:solidFill>
                  <a:sysClr val="windowText" lastClr="000000"/>
                </a:solidFill>
                <a:latin typeface="Aptos Display" panose="020B0004020202020204" pitchFamily="34" charset="0"/>
              </a:rPr>
              <a:t>Viz 2 - </a:t>
            </a:r>
            <a:r>
              <a:rPr lang="en-IN" sz="1800" b="1">
                <a:solidFill>
                  <a:schemeClr val="tx1"/>
                </a:solidFill>
              </a:rPr>
              <a:t>Return Rate by Product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'Data Visualization'!$D$41</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Aptos Display" panose="020B0004020202020204" pitchFamily="34" charset="0"/>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Visualization'!$A$42:$A$46</c:f>
              <c:strCache>
                <c:ptCount val="5"/>
                <c:pt idx="0">
                  <c:v>Accessories</c:v>
                </c:pt>
                <c:pt idx="1">
                  <c:v>Bottoms</c:v>
                </c:pt>
                <c:pt idx="2">
                  <c:v>Dresses</c:v>
                </c:pt>
                <c:pt idx="3">
                  <c:v>Outerwear</c:v>
                </c:pt>
                <c:pt idx="4">
                  <c:v>Tops</c:v>
                </c:pt>
              </c:strCache>
            </c:strRef>
          </c:cat>
          <c:val>
            <c:numRef>
              <c:f>'Data Visualization'!$D$42:$D$46</c:f>
              <c:numCache>
                <c:formatCode>0.00%</c:formatCode>
                <c:ptCount val="5"/>
                <c:pt idx="0">
                  <c:v>0.23529411764705882</c:v>
                </c:pt>
                <c:pt idx="1">
                  <c:v>0.37313432835820898</c:v>
                </c:pt>
                <c:pt idx="2">
                  <c:v>0.62857142857142856</c:v>
                </c:pt>
                <c:pt idx="3">
                  <c:v>0.76470588235294112</c:v>
                </c:pt>
                <c:pt idx="4">
                  <c:v>0.58904109589041098</c:v>
                </c:pt>
              </c:numCache>
            </c:numRef>
          </c:val>
          <c:extLst>
            <c:ext xmlns:c16="http://schemas.microsoft.com/office/drawing/2014/chart" uri="{C3380CC4-5D6E-409C-BE32-E72D297353CC}">
              <c16:uniqueId val="{00000000-F651-4511-B916-4B9AF3E1F2BF}"/>
            </c:ext>
          </c:extLst>
        </c:ser>
        <c:dLbls>
          <c:showLegendKey val="0"/>
          <c:showVal val="1"/>
          <c:showCatName val="0"/>
          <c:showSerName val="0"/>
          <c:showPercent val="0"/>
          <c:showBubbleSize val="0"/>
        </c:dLbls>
        <c:gapWidth val="219"/>
        <c:overlap val="-27"/>
        <c:axId val="1094840031"/>
        <c:axId val="1094829471"/>
      </c:barChart>
      <c:lineChart>
        <c:grouping val="standard"/>
        <c:varyColors val="0"/>
        <c:ser>
          <c:idx val="1"/>
          <c:order val="1"/>
          <c:tx>
            <c:strRef>
              <c:f>'Data Visualization'!$E$41</c:f>
              <c:strCache>
                <c:ptCount val="1"/>
                <c:pt idx="0">
                  <c:v>Overall Average</c:v>
                </c:pt>
              </c:strCache>
            </c:strRef>
          </c:tx>
          <c:spPr>
            <a:ln w="28575" cap="rnd">
              <a:solidFill>
                <a:schemeClr val="accent2"/>
              </a:solidFill>
              <a:round/>
            </a:ln>
            <a:effectLst/>
          </c:spPr>
          <c:marker>
            <c:symbol val="none"/>
          </c:marker>
          <c:dLbls>
            <c:delete val="1"/>
          </c:dLbls>
          <c:cat>
            <c:strRef>
              <c:f>'Data Visualization'!$A$42:$A$46</c:f>
              <c:strCache>
                <c:ptCount val="5"/>
                <c:pt idx="0">
                  <c:v>Accessories</c:v>
                </c:pt>
                <c:pt idx="1">
                  <c:v>Bottoms</c:v>
                </c:pt>
                <c:pt idx="2">
                  <c:v>Dresses</c:v>
                </c:pt>
                <c:pt idx="3">
                  <c:v>Outerwear</c:v>
                </c:pt>
                <c:pt idx="4">
                  <c:v>Tops</c:v>
                </c:pt>
              </c:strCache>
            </c:strRef>
          </c:cat>
          <c:val>
            <c:numRef>
              <c:f>'Data Visualization'!$E$42:$E$46</c:f>
              <c:numCache>
                <c:formatCode>0.00%</c:formatCode>
                <c:ptCount val="5"/>
                <c:pt idx="0">
                  <c:v>0.51814937056400967</c:v>
                </c:pt>
                <c:pt idx="1">
                  <c:v>0.51814937056400967</c:v>
                </c:pt>
                <c:pt idx="2">
                  <c:v>0.51814937056400967</c:v>
                </c:pt>
                <c:pt idx="3">
                  <c:v>0.51814937056400967</c:v>
                </c:pt>
                <c:pt idx="4">
                  <c:v>0.51814937056400967</c:v>
                </c:pt>
              </c:numCache>
            </c:numRef>
          </c:val>
          <c:smooth val="0"/>
          <c:extLst>
            <c:ext xmlns:c16="http://schemas.microsoft.com/office/drawing/2014/chart" uri="{C3380CC4-5D6E-409C-BE32-E72D297353CC}">
              <c16:uniqueId val="{00000001-F651-4511-B916-4B9AF3E1F2BF}"/>
            </c:ext>
          </c:extLst>
        </c:ser>
        <c:dLbls>
          <c:showLegendKey val="0"/>
          <c:showVal val="1"/>
          <c:showCatName val="0"/>
          <c:showSerName val="0"/>
          <c:showPercent val="0"/>
          <c:showBubbleSize val="0"/>
        </c:dLbls>
        <c:marker val="1"/>
        <c:smooth val="0"/>
        <c:axId val="1094840031"/>
        <c:axId val="1094829471"/>
      </c:lineChart>
      <c:catAx>
        <c:axId val="109484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crossAx val="1094829471"/>
        <c:crosses val="autoZero"/>
        <c:auto val="1"/>
        <c:lblAlgn val="ctr"/>
        <c:lblOffset val="100"/>
        <c:noMultiLvlLbl val="0"/>
      </c:catAx>
      <c:valAx>
        <c:axId val="10948294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crossAx val="109484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ptos Display" panose="020B0004020202020204" pitchFamily="34" charset="0"/>
          <a:ea typeface="+mn-ea"/>
          <a:cs typeface="+mn-cs"/>
        </a:defRPr>
      </a:pPr>
      <a:endParaRPr lang="LID4096"/>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i="0" u="none" strike="noStrike" kern="1200" spc="0" baseline="0">
                <a:solidFill>
                  <a:sysClr val="windowText" lastClr="000000"/>
                </a:solidFill>
              </a:rPr>
              <a:t>Viz 3 - </a:t>
            </a:r>
            <a:r>
              <a:rPr lang="en-IN" sz="1800" b="1" i="0" u="none" strike="noStrike" baseline="0">
                <a:solidFill>
                  <a:schemeClr val="tx1"/>
                </a:solidFill>
                <a:latin typeface="Aptos Display" panose="020B0004020202020204" pitchFamily="34" charset="0"/>
              </a:rPr>
              <a:t>Return Reasons Breakdown </a:t>
            </a:r>
            <a:endParaRPr lang="en-US" sz="1800" b="1">
              <a:solidFill>
                <a:schemeClr val="tx1"/>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LID4096"/>
        </a:p>
      </c:txPr>
    </c:title>
    <c:autoTitleDeleted val="0"/>
    <c:plotArea>
      <c:layout/>
      <c:pieChart>
        <c:varyColors val="1"/>
        <c:ser>
          <c:idx val="0"/>
          <c:order val="0"/>
          <c:tx>
            <c:strRef>
              <c:f>'Data Visualization'!$C$71</c:f>
              <c:strCache>
                <c:ptCount val="1"/>
                <c:pt idx="0">
                  <c:v>% of Returns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explosion val="5"/>
            <c:spPr>
              <a:solidFill>
                <a:schemeClr val="accent4"/>
              </a:solidFill>
              <a:ln w="19050">
                <a:solidFill>
                  <a:schemeClr val="lt1"/>
                </a:solidFill>
              </a:ln>
              <a:effectLst/>
            </c:spPr>
            <c:extLst>
              <c:ext xmlns:c16="http://schemas.microsoft.com/office/drawing/2014/chart" uri="{C3380CC4-5D6E-409C-BE32-E72D297353CC}">
                <c16:uniqueId val="{00000001-D182-4185-A25A-6B1BAC39D743}"/>
              </c:ext>
            </c:extLst>
          </c:dPt>
          <c:dPt>
            <c:idx val="4"/>
            <c:bubble3D val="0"/>
            <c:spPr>
              <a:solidFill>
                <a:schemeClr val="accent5"/>
              </a:solidFill>
              <a:ln w="19050">
                <a:solidFill>
                  <a:schemeClr val="lt1"/>
                </a:solidFill>
              </a:ln>
              <a:effectLst/>
            </c:spPr>
          </c:dPt>
          <c:dLbls>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0"/>
              <c:showCatName val="1"/>
              <c:showSerName val="0"/>
              <c:showPercent val="1"/>
              <c:showBubbleSize val="0"/>
              <c:extLst>
                <c:ext xmlns:c16="http://schemas.microsoft.com/office/drawing/2014/chart" uri="{C3380CC4-5D6E-409C-BE32-E72D297353CC}">
                  <c16:uniqueId val="{00000001-D182-4185-A25A-6B1BAC39D74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'Data Visualization'!$A$72:$A$76</c:f>
              <c:strCache>
                <c:ptCount val="5"/>
                <c:pt idx="0">
                  <c:v>Changed Mind</c:v>
                </c:pt>
                <c:pt idx="1">
                  <c:v>Damaged in Transit</c:v>
                </c:pt>
                <c:pt idx="2">
                  <c:v>Quality Defect</c:v>
                </c:pt>
                <c:pt idx="3">
                  <c:v>Size Issue</c:v>
                </c:pt>
                <c:pt idx="4">
                  <c:v>Wrong Item</c:v>
                </c:pt>
              </c:strCache>
            </c:strRef>
          </c:cat>
          <c:val>
            <c:numRef>
              <c:f>'Data Visualization'!$C$72:$C$76</c:f>
              <c:numCache>
                <c:formatCode>0.00%</c:formatCode>
                <c:ptCount val="5"/>
                <c:pt idx="0">
                  <c:v>0.16111111111111112</c:v>
                </c:pt>
                <c:pt idx="1">
                  <c:v>0.13333333333333333</c:v>
                </c:pt>
                <c:pt idx="2">
                  <c:v>0.17777777777777778</c:v>
                </c:pt>
                <c:pt idx="3">
                  <c:v>0.37222222222222223</c:v>
                </c:pt>
                <c:pt idx="4">
                  <c:v>0.15555555555555556</c:v>
                </c:pt>
              </c:numCache>
            </c:numRef>
          </c:val>
          <c:extLst>
            <c:ext xmlns:c16="http://schemas.microsoft.com/office/drawing/2014/chart" uri="{C3380CC4-5D6E-409C-BE32-E72D297353CC}">
              <c16:uniqueId val="{00000000-D182-4185-A25A-6B1BAC39D743}"/>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Analyst Intern_Nikhil_Kumar_Excel_February2026.xlsx]Data Visualization!PivotTable43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Aptos Display" panose="020B0004020202020204" pitchFamily="34" charset="0"/>
                <a:ea typeface="+mn-ea"/>
                <a:cs typeface="+mn-cs"/>
              </a:defRPr>
            </a:pPr>
            <a:r>
              <a:rPr lang="en-IN" sz="1800" b="1" i="0" u="none" strike="noStrike" kern="1200" spc="0" baseline="0">
                <a:solidFill>
                  <a:sysClr val="windowText" lastClr="000000"/>
                </a:solidFill>
                <a:latin typeface="Aptos Display" panose="020B0004020202020204" pitchFamily="34" charset="0"/>
              </a:rPr>
              <a:t>Viz 4 - </a:t>
            </a:r>
            <a:r>
              <a:rPr lang="en-IN" sz="1800" b="1" i="0" u="none" strike="noStrike" baseline="0">
                <a:solidFill>
                  <a:schemeClr val="tx1"/>
                </a:solidFill>
              </a:rPr>
              <a:t>Customer Type × Order Source Performance Matrix</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ptos Display" panose="020B0004020202020204" pitchFamily="34" charset="0"/>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Visualization'!$B$101:$B$102</c:f>
              <c:strCache>
                <c:ptCount val="1"/>
                <c:pt idx="0">
                  <c:v>Instagram Shop</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Visualization'!$A$103:$A$104</c:f>
              <c:strCache>
                <c:ptCount val="2"/>
                <c:pt idx="0">
                  <c:v>New</c:v>
                </c:pt>
                <c:pt idx="1">
                  <c:v>Returning</c:v>
                </c:pt>
              </c:strCache>
            </c:strRef>
          </c:cat>
          <c:val>
            <c:numRef>
              <c:f>'Data Visualization'!$B$103:$B$104</c:f>
              <c:numCache>
                <c:formatCode>0.00%</c:formatCode>
                <c:ptCount val="2"/>
                <c:pt idx="0">
                  <c:v>0.35</c:v>
                </c:pt>
                <c:pt idx="1">
                  <c:v>4.4444444444444446E-2</c:v>
                </c:pt>
              </c:numCache>
            </c:numRef>
          </c:val>
          <c:extLst>
            <c:ext xmlns:c16="http://schemas.microsoft.com/office/drawing/2014/chart" uri="{C3380CC4-5D6E-409C-BE32-E72D297353CC}">
              <c16:uniqueId val="{00000000-9692-40FD-A409-60F94C5BAF05}"/>
            </c:ext>
          </c:extLst>
        </c:ser>
        <c:ser>
          <c:idx val="1"/>
          <c:order val="1"/>
          <c:tx>
            <c:strRef>
              <c:f>'Data Visualization'!$C$101:$C$102</c:f>
              <c:strCache>
                <c:ptCount val="1"/>
                <c:pt idx="0">
                  <c:v>Mobile App</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Visualization'!$A$103:$A$104</c:f>
              <c:strCache>
                <c:ptCount val="2"/>
                <c:pt idx="0">
                  <c:v>New</c:v>
                </c:pt>
                <c:pt idx="1">
                  <c:v>Returning</c:v>
                </c:pt>
              </c:strCache>
            </c:strRef>
          </c:cat>
          <c:val>
            <c:numRef>
              <c:f>'Data Visualization'!$C$103:$C$104</c:f>
              <c:numCache>
                <c:formatCode>0.00%</c:formatCode>
                <c:ptCount val="2"/>
                <c:pt idx="0">
                  <c:v>0.25555555555555554</c:v>
                </c:pt>
                <c:pt idx="1">
                  <c:v>8.3333333333333329E-2</c:v>
                </c:pt>
              </c:numCache>
            </c:numRef>
          </c:val>
          <c:extLst>
            <c:ext xmlns:c16="http://schemas.microsoft.com/office/drawing/2014/chart" uri="{C3380CC4-5D6E-409C-BE32-E72D297353CC}">
              <c16:uniqueId val="{00000001-9692-40FD-A409-60F94C5BAF05}"/>
            </c:ext>
          </c:extLst>
        </c:ser>
        <c:ser>
          <c:idx val="2"/>
          <c:order val="2"/>
          <c:tx>
            <c:strRef>
              <c:f>'Data Visualization'!$D$101:$D$102</c:f>
              <c:strCache>
                <c:ptCount val="1"/>
                <c:pt idx="0">
                  <c:v>Website</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Visualization'!$A$103:$A$104</c:f>
              <c:strCache>
                <c:ptCount val="2"/>
                <c:pt idx="0">
                  <c:v>New</c:v>
                </c:pt>
                <c:pt idx="1">
                  <c:v>Returning</c:v>
                </c:pt>
              </c:strCache>
            </c:strRef>
          </c:cat>
          <c:val>
            <c:numRef>
              <c:f>'Data Visualization'!$D$103:$D$104</c:f>
              <c:numCache>
                <c:formatCode>0.00%</c:formatCode>
                <c:ptCount val="2"/>
                <c:pt idx="0">
                  <c:v>0.21111111111111111</c:v>
                </c:pt>
                <c:pt idx="1">
                  <c:v>5.5555555555555552E-2</c:v>
                </c:pt>
              </c:numCache>
            </c:numRef>
          </c:val>
          <c:extLst>
            <c:ext xmlns:c16="http://schemas.microsoft.com/office/drawing/2014/chart" uri="{C3380CC4-5D6E-409C-BE32-E72D297353CC}">
              <c16:uniqueId val="{00000002-9692-40FD-A409-60F94C5BAF05}"/>
            </c:ext>
          </c:extLst>
        </c:ser>
        <c:dLbls>
          <c:dLblPos val="outEnd"/>
          <c:showLegendKey val="0"/>
          <c:showVal val="1"/>
          <c:showCatName val="0"/>
          <c:showSerName val="0"/>
          <c:showPercent val="0"/>
          <c:showBubbleSize val="0"/>
        </c:dLbls>
        <c:gapWidth val="219"/>
        <c:overlap val="-27"/>
        <c:axId val="690924639"/>
        <c:axId val="690929919"/>
      </c:barChart>
      <c:catAx>
        <c:axId val="69092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690929919"/>
        <c:crosses val="autoZero"/>
        <c:auto val="1"/>
        <c:lblAlgn val="ctr"/>
        <c:lblOffset val="100"/>
        <c:noMultiLvlLbl val="0"/>
      </c:catAx>
      <c:valAx>
        <c:axId val="6909299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crossAx val="69092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ptos Display" panose="020B0004020202020204" pitchFamily="34" charset="0"/>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r>
              <a:rPr lang="en-IN" sz="1800" b="1">
                <a:solidFill>
                  <a:schemeClr val="tx1"/>
                </a:solidFill>
              </a:rPr>
              <a:t>Viz 5 - COD vs Prepaid: Return and RTO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endParaRPr lang="LID4096"/>
        </a:p>
      </c:txPr>
    </c:title>
    <c:autoTitleDeleted val="0"/>
    <c:plotArea>
      <c:layout/>
      <c:barChart>
        <c:barDir val="col"/>
        <c:grouping val="clustered"/>
        <c:varyColors val="0"/>
        <c:ser>
          <c:idx val="0"/>
          <c:order val="0"/>
          <c:tx>
            <c:strRef>
              <c:f>'Data Visualization'!$E$133</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Visualization'!$A$134:$A$138</c:f>
              <c:strCache>
                <c:ptCount val="5"/>
                <c:pt idx="0">
                  <c:v>COD</c:v>
                </c:pt>
                <c:pt idx="1">
                  <c:v>Credit Card</c:v>
                </c:pt>
                <c:pt idx="2">
                  <c:v>Debit Card</c:v>
                </c:pt>
                <c:pt idx="3">
                  <c:v>UPI</c:v>
                </c:pt>
                <c:pt idx="4">
                  <c:v>Wallet</c:v>
                </c:pt>
              </c:strCache>
            </c:strRef>
          </c:cat>
          <c:val>
            <c:numRef>
              <c:f>'Data Visualization'!$E$134:$E$138</c:f>
              <c:numCache>
                <c:formatCode>0.00%</c:formatCode>
                <c:ptCount val="5"/>
                <c:pt idx="0">
                  <c:v>0.60317460317460314</c:v>
                </c:pt>
                <c:pt idx="1">
                  <c:v>0.54545454545454541</c:v>
                </c:pt>
                <c:pt idx="2">
                  <c:v>0.70491803278688525</c:v>
                </c:pt>
                <c:pt idx="3">
                  <c:v>0.42682926829268292</c:v>
                </c:pt>
                <c:pt idx="4">
                  <c:v>0.30769230769230771</c:v>
                </c:pt>
              </c:numCache>
            </c:numRef>
          </c:val>
          <c:extLst>
            <c:ext xmlns:c16="http://schemas.microsoft.com/office/drawing/2014/chart" uri="{C3380CC4-5D6E-409C-BE32-E72D297353CC}">
              <c16:uniqueId val="{00000000-87A8-4F58-AC62-9103F2FA728F}"/>
            </c:ext>
          </c:extLst>
        </c:ser>
        <c:ser>
          <c:idx val="1"/>
          <c:order val="1"/>
          <c:tx>
            <c:strRef>
              <c:f>'Data Visualization'!$F$133</c:f>
              <c:strCache>
                <c:ptCount val="1"/>
                <c:pt idx="0">
                  <c:v>RTO Rate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ptos Display" panose="020B0004020202020204" pitchFamily="34" charset="0"/>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Visualization'!$A$134:$A$138</c:f>
              <c:strCache>
                <c:ptCount val="5"/>
                <c:pt idx="0">
                  <c:v>COD</c:v>
                </c:pt>
                <c:pt idx="1">
                  <c:v>Credit Card</c:v>
                </c:pt>
                <c:pt idx="2">
                  <c:v>Debit Card</c:v>
                </c:pt>
                <c:pt idx="3">
                  <c:v>UPI</c:v>
                </c:pt>
                <c:pt idx="4">
                  <c:v>Wallet</c:v>
                </c:pt>
              </c:strCache>
            </c:strRef>
          </c:cat>
          <c:val>
            <c:numRef>
              <c:f>'Data Visualization'!$F$134:$F$138</c:f>
              <c:numCache>
                <c:formatCode>0.00%</c:formatCode>
                <c:ptCount val="5"/>
                <c:pt idx="0">
                  <c:v>0.25396825396825395</c:v>
                </c:pt>
                <c:pt idx="1">
                  <c:v>0</c:v>
                </c:pt>
                <c:pt idx="2">
                  <c:v>1.6393442622950821E-2</c:v>
                </c:pt>
                <c:pt idx="3">
                  <c:v>0</c:v>
                </c:pt>
                <c:pt idx="4">
                  <c:v>0</c:v>
                </c:pt>
              </c:numCache>
            </c:numRef>
          </c:val>
          <c:extLst>
            <c:ext xmlns:c16="http://schemas.microsoft.com/office/drawing/2014/chart" uri="{C3380CC4-5D6E-409C-BE32-E72D297353CC}">
              <c16:uniqueId val="{00000001-87A8-4F58-AC62-9103F2FA728F}"/>
            </c:ext>
          </c:extLst>
        </c:ser>
        <c:dLbls>
          <c:dLblPos val="outEnd"/>
          <c:showLegendKey val="0"/>
          <c:showVal val="1"/>
          <c:showCatName val="0"/>
          <c:showSerName val="0"/>
          <c:showPercent val="0"/>
          <c:showBubbleSize val="0"/>
        </c:dLbls>
        <c:gapWidth val="219"/>
        <c:overlap val="-27"/>
        <c:axId val="1062047807"/>
        <c:axId val="1062039167"/>
      </c:barChart>
      <c:catAx>
        <c:axId val="106204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crossAx val="1062039167"/>
        <c:crosses val="autoZero"/>
        <c:auto val="1"/>
        <c:lblAlgn val="ctr"/>
        <c:lblOffset val="100"/>
        <c:noMultiLvlLbl val="0"/>
      </c:catAx>
      <c:valAx>
        <c:axId val="1062039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IN" b="1">
                    <a:solidFill>
                      <a:schemeClr val="tx1"/>
                    </a:solidFill>
                  </a:rPr>
                  <a:t>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crossAx val="1062047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1906</xdr:colOff>
      <xdr:row>7</xdr:row>
      <xdr:rowOff>35603</xdr:rowOff>
    </xdr:from>
    <xdr:to>
      <xdr:col>3</xdr:col>
      <xdr:colOff>745435</xdr:colOff>
      <xdr:row>10</xdr:row>
      <xdr:rowOff>99391</xdr:rowOff>
    </xdr:to>
    <xdr:cxnSp macro="">
      <xdr:nvCxnSpPr>
        <xdr:cNvPr id="4" name="Straight Arrow Connector 3">
          <a:extLst>
            <a:ext uri="{FF2B5EF4-FFF2-40B4-BE49-F238E27FC236}">
              <a16:creationId xmlns:a16="http://schemas.microsoft.com/office/drawing/2014/main" id="{CFD5106D-F0E5-E0A9-88B2-B8912385EC35}"/>
            </a:ext>
          </a:extLst>
        </xdr:cNvPr>
        <xdr:cNvCxnSpPr/>
      </xdr:nvCxnSpPr>
      <xdr:spPr>
        <a:xfrm flipH="1" flipV="1">
          <a:off x="2503254" y="1211733"/>
          <a:ext cx="1397855" cy="61044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24849</xdr:colOff>
      <xdr:row>22</xdr:row>
      <xdr:rowOff>58144</xdr:rowOff>
    </xdr:from>
    <xdr:to>
      <xdr:col>4</xdr:col>
      <xdr:colOff>36942</xdr:colOff>
      <xdr:row>38</xdr:row>
      <xdr:rowOff>0</xdr:rowOff>
    </xdr:to>
    <xdr:graphicFrame macro="">
      <xdr:nvGraphicFramePr>
        <xdr:cNvPr id="8" name="Chart 7">
          <a:extLst>
            <a:ext uri="{FF2B5EF4-FFF2-40B4-BE49-F238E27FC236}">
              <a16:creationId xmlns:a16="http://schemas.microsoft.com/office/drawing/2014/main" id="{C56FF799-8A2C-7A6A-A6E7-5B98BD15C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612250</xdr:colOff>
      <xdr:row>22</xdr:row>
      <xdr:rowOff>16067</xdr:rowOff>
    </xdr:from>
    <xdr:to>
      <xdr:col>9</xdr:col>
      <xdr:colOff>16566</xdr:colOff>
      <xdr:row>38</xdr:row>
      <xdr:rowOff>0</xdr:rowOff>
    </xdr:to>
    <xdr:graphicFrame macro="">
      <xdr:nvGraphicFramePr>
        <xdr:cNvPr id="3" name="Chart 8">
          <a:extLst>
            <a:ext uri="{FF2B5EF4-FFF2-40B4-BE49-F238E27FC236}">
              <a16:creationId xmlns:a16="http://schemas.microsoft.com/office/drawing/2014/main" id="{0FCE7293-AF0D-C614-DC36-FA994C594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7622</xdr:colOff>
      <xdr:row>22</xdr:row>
      <xdr:rowOff>54251</xdr:rowOff>
    </xdr:from>
    <xdr:to>
      <xdr:col>14</xdr:col>
      <xdr:colOff>21038</xdr:colOff>
      <xdr:row>38</xdr:row>
      <xdr:rowOff>8282</xdr:rowOff>
    </xdr:to>
    <xdr:graphicFrame macro="">
      <xdr:nvGraphicFramePr>
        <xdr:cNvPr id="7" name="Chart 10">
          <a:extLst>
            <a:ext uri="{FF2B5EF4-FFF2-40B4-BE49-F238E27FC236}">
              <a16:creationId xmlns:a16="http://schemas.microsoft.com/office/drawing/2014/main" id="{790C3D20-2C8E-7371-5E9F-DC0A5A9CF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73</xdr:row>
      <xdr:rowOff>40956</xdr:rowOff>
    </xdr:from>
    <xdr:to>
      <xdr:col>12</xdr:col>
      <xdr:colOff>609600</xdr:colOff>
      <xdr:row>102</xdr:row>
      <xdr:rowOff>152400</xdr:rowOff>
    </xdr:to>
    <xdr:graphicFrame macro="">
      <xdr:nvGraphicFramePr>
        <xdr:cNvPr id="10" name="Chart 9">
          <a:extLst>
            <a:ext uri="{FF2B5EF4-FFF2-40B4-BE49-F238E27FC236}">
              <a16:creationId xmlns:a16="http://schemas.microsoft.com/office/drawing/2014/main" id="{05A49D20-938B-E602-4E6F-A14AA4B27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175</xdr:row>
      <xdr:rowOff>46673</xdr:rowOff>
    </xdr:from>
    <xdr:to>
      <xdr:col>5</xdr:col>
      <xdr:colOff>1781174</xdr:colOff>
      <xdr:row>194</xdr:row>
      <xdr:rowOff>0</xdr:rowOff>
    </xdr:to>
    <xdr:graphicFrame macro="">
      <xdr:nvGraphicFramePr>
        <xdr:cNvPr id="12" name="Chart 11">
          <a:extLst>
            <a:ext uri="{FF2B5EF4-FFF2-40B4-BE49-F238E27FC236}">
              <a16:creationId xmlns:a16="http://schemas.microsoft.com/office/drawing/2014/main" id="{71654893-632A-C456-2284-C4B361C7D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16192</xdr:colOff>
      <xdr:row>176</xdr:row>
      <xdr:rowOff>73342</xdr:rowOff>
    </xdr:from>
    <xdr:to>
      <xdr:col>13</xdr:col>
      <xdr:colOff>11430</xdr:colOff>
      <xdr:row>194</xdr:row>
      <xdr:rowOff>0</xdr:rowOff>
    </xdr:to>
    <xdr:graphicFrame macro="">
      <xdr:nvGraphicFramePr>
        <xdr:cNvPr id="13" name="Chart 12">
          <a:extLst>
            <a:ext uri="{FF2B5EF4-FFF2-40B4-BE49-F238E27FC236}">
              <a16:creationId xmlns:a16="http://schemas.microsoft.com/office/drawing/2014/main" id="{52F248E4-BDDD-9724-7BD6-2D7C5C639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2857</xdr:colOff>
      <xdr:row>178</xdr:row>
      <xdr:rowOff>77152</xdr:rowOff>
    </xdr:from>
    <xdr:to>
      <xdr:col>19</xdr:col>
      <xdr:colOff>0</xdr:colOff>
      <xdr:row>193</xdr:row>
      <xdr:rowOff>113347</xdr:rowOff>
    </xdr:to>
    <xdr:graphicFrame macro="">
      <xdr:nvGraphicFramePr>
        <xdr:cNvPr id="14" name="Chart 13">
          <a:extLst>
            <a:ext uri="{FF2B5EF4-FFF2-40B4-BE49-F238E27FC236}">
              <a16:creationId xmlns:a16="http://schemas.microsoft.com/office/drawing/2014/main" id="{8EFEFF9D-D34C-3F3A-B653-99ED228AC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20002</xdr:colOff>
      <xdr:row>178</xdr:row>
      <xdr:rowOff>88582</xdr:rowOff>
    </xdr:from>
    <xdr:to>
      <xdr:col>24</xdr:col>
      <xdr:colOff>781050</xdr:colOff>
      <xdr:row>193</xdr:row>
      <xdr:rowOff>124777</xdr:rowOff>
    </xdr:to>
    <xdr:graphicFrame macro="">
      <xdr:nvGraphicFramePr>
        <xdr:cNvPr id="15" name="Chart 14">
          <a:extLst>
            <a:ext uri="{FF2B5EF4-FFF2-40B4-BE49-F238E27FC236}">
              <a16:creationId xmlns:a16="http://schemas.microsoft.com/office/drawing/2014/main" id="{F1392294-34CF-4A62-0FD7-1374B282D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40956</xdr:rowOff>
    </xdr:from>
    <xdr:to>
      <xdr:col>12</xdr:col>
      <xdr:colOff>609600</xdr:colOff>
      <xdr:row>47</xdr:row>
      <xdr:rowOff>152400</xdr:rowOff>
    </xdr:to>
    <xdr:graphicFrame macro="">
      <xdr:nvGraphicFramePr>
        <xdr:cNvPr id="2" name="Chart 1">
          <a:extLst>
            <a:ext uri="{FF2B5EF4-FFF2-40B4-BE49-F238E27FC236}">
              <a16:creationId xmlns:a16="http://schemas.microsoft.com/office/drawing/2014/main" id="{23500173-D035-4FF4-9592-7C19DAC14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7</xdr:row>
      <xdr:rowOff>48578</xdr:rowOff>
    </xdr:from>
    <xdr:to>
      <xdr:col>6</xdr:col>
      <xdr:colOff>7619</xdr:colOff>
      <xdr:row>26</xdr:row>
      <xdr:rowOff>0</xdr:rowOff>
    </xdr:to>
    <xdr:graphicFrame macro="">
      <xdr:nvGraphicFramePr>
        <xdr:cNvPr id="2" name="Chart 1">
          <a:extLst>
            <a:ext uri="{FF2B5EF4-FFF2-40B4-BE49-F238E27FC236}">
              <a16:creationId xmlns:a16="http://schemas.microsoft.com/office/drawing/2014/main" id="{44E34FE5-739E-45C1-95D6-47930B05D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16192</xdr:colOff>
      <xdr:row>8</xdr:row>
      <xdr:rowOff>73342</xdr:rowOff>
    </xdr:from>
    <xdr:to>
      <xdr:col>13</xdr:col>
      <xdr:colOff>11430</xdr:colOff>
      <xdr:row>26</xdr:row>
      <xdr:rowOff>0</xdr:rowOff>
    </xdr:to>
    <xdr:graphicFrame macro="">
      <xdr:nvGraphicFramePr>
        <xdr:cNvPr id="3" name="Chart 2">
          <a:extLst>
            <a:ext uri="{FF2B5EF4-FFF2-40B4-BE49-F238E27FC236}">
              <a16:creationId xmlns:a16="http://schemas.microsoft.com/office/drawing/2014/main" id="{6667CB97-EEBB-4395-8E51-A58ACEB5B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2857</xdr:colOff>
      <xdr:row>10</xdr:row>
      <xdr:rowOff>77152</xdr:rowOff>
    </xdr:from>
    <xdr:to>
      <xdr:col>19</xdr:col>
      <xdr:colOff>0</xdr:colOff>
      <xdr:row>25</xdr:row>
      <xdr:rowOff>113347</xdr:rowOff>
    </xdr:to>
    <xdr:graphicFrame macro="">
      <xdr:nvGraphicFramePr>
        <xdr:cNvPr id="4" name="Chart 3">
          <a:extLst>
            <a:ext uri="{FF2B5EF4-FFF2-40B4-BE49-F238E27FC236}">
              <a16:creationId xmlns:a16="http://schemas.microsoft.com/office/drawing/2014/main" id="{C19925F1-F0E4-47A1-B7E1-EA3FE9BF4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20002</xdr:colOff>
      <xdr:row>10</xdr:row>
      <xdr:rowOff>88582</xdr:rowOff>
    </xdr:from>
    <xdr:to>
      <xdr:col>24</xdr:col>
      <xdr:colOff>781050</xdr:colOff>
      <xdr:row>25</xdr:row>
      <xdr:rowOff>124777</xdr:rowOff>
    </xdr:to>
    <xdr:graphicFrame macro="">
      <xdr:nvGraphicFramePr>
        <xdr:cNvPr id="5" name="Chart 4">
          <a:extLst>
            <a:ext uri="{FF2B5EF4-FFF2-40B4-BE49-F238E27FC236}">
              <a16:creationId xmlns:a16="http://schemas.microsoft.com/office/drawing/2014/main" id="{BBD13C35-B931-4DFC-AC42-307551955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94297</xdr:colOff>
      <xdr:row>6</xdr:row>
      <xdr:rowOff>25717</xdr:rowOff>
    </xdr:from>
    <xdr:to>
      <xdr:col>23</xdr:col>
      <xdr:colOff>38101</xdr:colOff>
      <xdr:row>36</xdr:row>
      <xdr:rowOff>11430</xdr:rowOff>
    </xdr:to>
    <xdr:graphicFrame macro="">
      <xdr:nvGraphicFramePr>
        <xdr:cNvPr id="4" name="Chart 3">
          <a:extLst>
            <a:ext uri="{FF2B5EF4-FFF2-40B4-BE49-F238E27FC236}">
              <a16:creationId xmlns:a16="http://schemas.microsoft.com/office/drawing/2014/main" id="{29A7F9B5-F4BA-1E98-D860-B071646D9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92391</xdr:colOff>
      <xdr:row>40</xdr:row>
      <xdr:rowOff>16192</xdr:rowOff>
    </xdr:from>
    <xdr:to>
      <xdr:col>23</xdr:col>
      <xdr:colOff>598169</xdr:colOff>
      <xdr:row>65</xdr:row>
      <xdr:rowOff>142875</xdr:rowOff>
    </xdr:to>
    <xdr:graphicFrame macro="">
      <xdr:nvGraphicFramePr>
        <xdr:cNvPr id="6" name="Chart 5">
          <a:extLst>
            <a:ext uri="{FF2B5EF4-FFF2-40B4-BE49-F238E27FC236}">
              <a16:creationId xmlns:a16="http://schemas.microsoft.com/office/drawing/2014/main" id="{A8A9E12C-1A82-E823-83C9-2E6010F1D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77152</xdr:colOff>
      <xdr:row>70</xdr:row>
      <xdr:rowOff>16191</xdr:rowOff>
    </xdr:from>
    <xdr:to>
      <xdr:col>15</xdr:col>
      <xdr:colOff>257175</xdr:colOff>
      <xdr:row>95</xdr:row>
      <xdr:rowOff>152399</xdr:rowOff>
    </xdr:to>
    <xdr:graphicFrame macro="">
      <xdr:nvGraphicFramePr>
        <xdr:cNvPr id="7" name="Chart 6">
          <a:extLst>
            <a:ext uri="{FF2B5EF4-FFF2-40B4-BE49-F238E27FC236}">
              <a16:creationId xmlns:a16="http://schemas.microsoft.com/office/drawing/2014/main" id="{D9EE170F-20C3-1815-F30C-F67C13B47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92392</xdr:colOff>
      <xdr:row>100</xdr:row>
      <xdr:rowOff>50482</xdr:rowOff>
    </xdr:from>
    <xdr:to>
      <xdr:col>12</xdr:col>
      <xdr:colOff>967741</xdr:colOff>
      <xdr:row>128</xdr:row>
      <xdr:rowOff>0</xdr:rowOff>
    </xdr:to>
    <xdr:graphicFrame macro="">
      <xdr:nvGraphicFramePr>
        <xdr:cNvPr id="8" name="Chart 7">
          <a:extLst>
            <a:ext uri="{FF2B5EF4-FFF2-40B4-BE49-F238E27FC236}">
              <a16:creationId xmlns:a16="http://schemas.microsoft.com/office/drawing/2014/main" id="{FA3632C0-7317-55F2-B7CA-03281129D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35242</xdr:colOff>
      <xdr:row>132</xdr:row>
      <xdr:rowOff>18097</xdr:rowOff>
    </xdr:from>
    <xdr:to>
      <xdr:col>17</xdr:col>
      <xdr:colOff>11430</xdr:colOff>
      <xdr:row>157</xdr:row>
      <xdr:rowOff>171450</xdr:rowOff>
    </xdr:to>
    <xdr:graphicFrame macro="">
      <xdr:nvGraphicFramePr>
        <xdr:cNvPr id="9" name="Chart 8">
          <a:extLst>
            <a:ext uri="{FF2B5EF4-FFF2-40B4-BE49-F238E27FC236}">
              <a16:creationId xmlns:a16="http://schemas.microsoft.com/office/drawing/2014/main" id="{CA7D314B-C126-F3DB-6E9C-B38567888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en Jeager" refreshedDate="46058.146660879633" createdVersion="8" refreshedVersion="8" minRefreshableVersion="3" recordCount="346" xr:uid="{1ACB1514-BDFC-46BA-8DC3-56B2B3DC0B84}">
  <cacheSource type="worksheet">
    <worksheetSource name="Data_Analyst_Intern_Nikhil_Kumar_February2026"/>
  </cacheSource>
  <cacheFields count="38">
    <cacheField name="Order ID" numFmtId="0">
      <sharedItems/>
    </cacheField>
    <cacheField name="Order Date" numFmtId="14">
      <sharedItems containsSemiMixedTypes="0" containsNonDate="0" containsDate="1" containsString="0" minDate="2024-10-01T00:00:00" maxDate="2025-01-01T00:00:00"/>
    </cacheField>
    <cacheField name="Month" numFmtId="14">
      <sharedItems count="3">
        <s v="October"/>
        <s v="November"/>
        <s v="December"/>
      </sharedItems>
    </cacheField>
    <cacheField name="Week" numFmtId="0">
      <sharedItems containsSemiMixedTypes="0" containsString="0" containsNumber="1" containsInteger="1" minValue="40" maxValue="53"/>
    </cacheField>
    <cacheField name="Weekday" numFmtId="0">
      <sharedItems/>
    </cacheField>
    <cacheField name="Week Start Date" numFmtId="14">
      <sharedItems containsSemiMixedTypes="0" containsNonDate="0" containsDate="1" containsString="0" minDate="2024-09-30T00:00:00" maxDate="2024-12-31T00:00:00" count="14">
        <d v="2024-09-30T00:00:00"/>
        <d v="2024-10-07T00:00:00"/>
        <d v="2024-10-14T00:00:00"/>
        <d v="2024-10-21T00:00:00"/>
        <d v="2024-10-28T00:00:00"/>
        <d v="2024-11-04T00:00:00"/>
        <d v="2024-11-11T00:00:00"/>
        <d v="2024-11-18T00:00:00"/>
        <d v="2024-11-25T00:00:00"/>
        <d v="2024-12-02T00:00:00"/>
        <d v="2024-12-09T00:00:00"/>
        <d v="2024-12-16T00:00:00"/>
        <d v="2024-12-23T00:00:00"/>
        <d v="2024-12-30T00:00:00"/>
      </sharedItems>
      <fieldGroup par="37"/>
    </cacheField>
    <cacheField name="WeekDay2" numFmtId="0">
      <sharedItems/>
    </cacheField>
    <cacheField name="Customer ID" numFmtId="0">
      <sharedItems/>
    </cacheField>
    <cacheField name="Type" numFmtId="0">
      <sharedItems count="2">
        <s v="New"/>
        <s v="Returning"/>
      </sharedItems>
    </cacheField>
    <cacheField name="SKU" numFmtId="0">
      <sharedItems/>
    </cacheField>
    <cacheField name="Category" numFmtId="0">
      <sharedItems/>
    </cacheField>
    <cacheField name="Product Name" numFmtId="0">
      <sharedItems/>
    </cacheField>
    <cacheField name="Unit Price" numFmtId="44">
      <sharedItems containsSemiMixedTypes="0" containsString="0" containsNumber="1" containsInteger="1" minValue="299" maxValue="8999"/>
    </cacheField>
    <cacheField name="Qty" numFmtId="0">
      <sharedItems containsSemiMixedTypes="0" containsString="0" containsNumber="1" containsInteger="1" minValue="-1" maxValue="5"/>
    </cacheField>
    <cacheField name="Total" numFmtId="44">
      <sharedItems containsSemiMixedTypes="0" containsString="0" containsNumber="1" containsInteger="1" minValue="699" maxValue="8999"/>
    </cacheField>
    <cacheField name="Discount Code" numFmtId="0">
      <sharedItems/>
    </cacheField>
    <cacheField name="Discount(%)" numFmtId="0">
      <sharedItems containsSemiMixedTypes="0" containsString="0" containsNumber="1" containsInteger="1" minValue="0" maxValue="40"/>
    </cacheField>
    <cacheField name="Discount Amount" numFmtId="2">
      <sharedItems containsSemiMixedTypes="0" containsString="0" containsNumber="1" minValue="0" maxValue="466.6"/>
    </cacheField>
    <cacheField name="Price After Discount" numFmtId="44">
      <sharedItems containsSemiMixedTypes="0" containsString="0" containsNumber="1" minValue="699" maxValue="8774.0249999999996"/>
    </cacheField>
    <cacheField name="Payment" numFmtId="0">
      <sharedItems count="5">
        <s v="UPI"/>
        <s v="Credit Card"/>
        <s v="COD"/>
        <s v="Debit Card"/>
        <s v="Wallet"/>
      </sharedItems>
      <fieldGroup par="35"/>
    </cacheField>
    <cacheField name="Source" numFmtId="0">
      <sharedItems count="3">
        <s v="Website"/>
        <s v="Mobile App"/>
        <s v="Instagram Shop"/>
      </sharedItems>
    </cacheField>
    <cacheField name="City" numFmtId="0">
      <sharedItems/>
    </cacheField>
    <cacheField name="State" numFmtId="0">
      <sharedItems/>
    </cacheField>
    <cacheField name="Warehouse" numFmtId="0">
      <sharedItems/>
    </cacheField>
    <cacheField name="Del Date" numFmtId="14">
      <sharedItems containsNonDate="0" containsDate="1" containsString="0" containsBlank="1" minDate="2024-10-04T00:00:00" maxDate="2025-01-29T00:00:00"/>
    </cacheField>
    <cacheField name="Del Days" numFmtId="0">
      <sharedItems containsSemiMixedTypes="0" containsString="0" containsNumber="1" containsInteger="1" minValue="-45638" maxValue="46"/>
    </cacheField>
    <cacheField name="Del Days Category" numFmtId="0">
      <sharedItems/>
    </cacheField>
    <cacheField name="Status" numFmtId="0">
      <sharedItems/>
    </cacheField>
    <cacheField name="RTO Flag" numFmtId="0">
      <sharedItems containsSemiMixedTypes="0" containsString="0" containsNumber="1" containsInteger="1" minValue="0" maxValue="1"/>
    </cacheField>
    <cacheField name="Delivered Flag" numFmtId="0">
      <sharedItems containsSemiMixedTypes="0" containsString="0" containsNumber="1" containsInteger="1" minValue="0" maxValue="1"/>
    </cacheField>
    <cacheField name="Return?" numFmtId="0">
      <sharedItems/>
    </cacheField>
    <cacheField name="Return Flag" numFmtId="0">
      <sharedItems containsSemiMixedTypes="0" containsString="0" containsNumber="1" containsInteger="1" minValue="0" maxValue="1"/>
    </cacheField>
    <cacheField name="Reason" numFmtId="0">
      <sharedItems/>
    </cacheField>
    <cacheField name="Ret Rec" numFmtId="0">
      <sharedItems containsNonDate="0" containsDate="1" containsString="0" containsBlank="1" minDate="2024-10-15T00:00:00" maxDate="2025-02-26T00:00:00"/>
    </cacheField>
    <cacheField name="Refund" numFmtId="0">
      <sharedItems/>
    </cacheField>
    <cacheField name="Payment2" numFmtId="0" databaseField="0">
      <fieldGroup base="19">
        <discretePr count="5">
          <x v="1"/>
          <x v="1"/>
          <x v="0"/>
          <x v="1"/>
          <x v="1"/>
        </discretePr>
        <groupItems count="2">
          <s v="COD"/>
          <s v="Group1"/>
        </groupItems>
      </fieldGroup>
    </cacheField>
    <cacheField name="Days (Week Start Date)" numFmtId="0" databaseField="0">
      <fieldGroup base="5">
        <rangePr groupBy="days" startDate="2024-09-30T00:00:00" endDate="2024-12-31T00:00:00"/>
        <groupItems count="368">
          <s v="&lt;30-09-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Week Start Date)" numFmtId="0" databaseField="0">
      <fieldGroup base="5">
        <rangePr groupBy="months" startDate="2024-09-30T00:00:00" endDate="2024-12-31T00:00:00"/>
        <groupItems count="14">
          <s v="&lt;30-09-2024"/>
          <s v="Jan"/>
          <s v="Feb"/>
          <s v="Mar"/>
          <s v="Apr"/>
          <s v="May"/>
          <s v="Jun"/>
          <s v="Jul"/>
          <s v="Aug"/>
          <s v="Sep"/>
          <s v="Oct"/>
          <s v="Nov"/>
          <s v="Dec"/>
          <s v="&gt;31-1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UT-100001"/>
    <d v="2024-10-01T00:00:00"/>
    <x v="0"/>
    <n v="40"/>
    <s v="Tuesday"/>
    <x v="0"/>
    <s v="Monday"/>
    <s v="CUST_10001"/>
    <x v="0"/>
    <s v="TOP-CAS-M"/>
    <s v="Tops"/>
    <s v="Classic Cotton Tee"/>
    <n v="1299"/>
    <n v="2"/>
    <n v="2598"/>
    <s v=""/>
    <n v="0"/>
    <n v="0"/>
    <n v="2598"/>
    <x v="0"/>
    <x v="0"/>
    <s v="Mumbai"/>
    <s v="Maharashtra"/>
    <s v="Mumbai"/>
    <d v="2024-10-05T00:00:00"/>
    <n v="4"/>
    <s v="Fast"/>
    <s v="Delivered"/>
    <n v="0"/>
    <n v="1"/>
    <s v="No"/>
    <n v="0"/>
    <s v=""/>
    <m/>
    <s v="Not Applicable"/>
  </r>
  <r>
    <s v="UT-100002"/>
    <d v="2024-10-01T00:00:00"/>
    <x v="0"/>
    <n v="40"/>
    <s v="Tuesday"/>
    <x v="0"/>
    <s v="Monday"/>
    <s v="CUST_10002"/>
    <x v="1"/>
    <s v="DRS-FRM-S"/>
    <s v="Dresses"/>
    <s v="Floral Midi Dress"/>
    <n v="2499"/>
    <n v="1"/>
    <n v="2499"/>
    <s v="DIWALI20"/>
    <n v="20"/>
    <n v="124.95"/>
    <n v="2374.0500000000002"/>
    <x v="1"/>
    <x v="1"/>
    <s v="Delhi"/>
    <s v="Delhi"/>
    <s v="Delhi"/>
    <d v="2024-10-04T00:00:00"/>
    <n v="3"/>
    <s v="Fast"/>
    <s v="Delivered"/>
    <n v="0"/>
    <n v="1"/>
    <s v="Yes"/>
    <n v="1"/>
    <s v="Size Issue"/>
    <d v="2024-10-15T00:00:00"/>
    <s v="Processed"/>
  </r>
  <r>
    <s v="UT-100003"/>
    <d v="2024-10-10T00:00:00"/>
    <x v="0"/>
    <n v="41"/>
    <s v="Thursday"/>
    <x v="1"/>
    <s v="Wednesday"/>
    <s v="CUST_10003"/>
    <x v="0"/>
    <s v="BOT-JNS-L"/>
    <s v="Bottoms"/>
    <s v="Slim Fit Jeans"/>
    <n v="1899"/>
    <n v="1"/>
    <n v="1899"/>
    <s v=""/>
    <n v="0"/>
    <n v="0"/>
    <n v="1899"/>
    <x v="2"/>
    <x v="0"/>
    <s v="Bangalore"/>
    <s v="Karnataka"/>
    <s v="Bangalore"/>
    <d v="2024-10-06T00:00:00"/>
    <n v="-4"/>
    <s v="Fast"/>
    <s v="Delivered"/>
    <n v="0"/>
    <n v="1"/>
    <s v="No"/>
    <n v="0"/>
    <s v=""/>
    <m/>
    <s v="Not Applicable"/>
  </r>
  <r>
    <s v="UT-100004"/>
    <d v="2024-10-01T00:00:00"/>
    <x v="0"/>
    <n v="40"/>
    <s v="Tuesday"/>
    <x v="0"/>
    <s v="Monday"/>
    <s v="CUST_10004"/>
    <x v="0"/>
    <s v="OUT-JKT-XL"/>
    <s v="Outerwear"/>
    <s v="Denim Jacket"/>
    <n v="3499"/>
    <n v="1"/>
    <n v="3499"/>
    <s v="FIRST15"/>
    <n v="15"/>
    <n v="233.26666666666668"/>
    <n v="3265.7333333333331"/>
    <x v="3"/>
    <x v="2"/>
    <s v="Chennai"/>
    <s v="Tamil Nadu"/>
    <s v="Mumbai"/>
    <d v="2024-10-08T00:00:00"/>
    <n v="7"/>
    <s v="Fast"/>
    <s v="Delivered"/>
    <n v="0"/>
    <n v="1"/>
    <s v="Yes"/>
    <n v="1"/>
    <s v="Quality Defect"/>
    <d v="2024-10-20T00:00:00"/>
    <s v="Processed"/>
  </r>
  <r>
    <s v="UT-100005"/>
    <d v="2024-10-01T00:00:00"/>
    <x v="0"/>
    <n v="40"/>
    <s v="Tuesday"/>
    <x v="0"/>
    <s v="Monday"/>
    <s v="CUST_10001"/>
    <x v="0"/>
    <s v="ACC-SCF-OS"/>
    <s v="Accessories"/>
    <s v="Silk Scarf"/>
    <n v="799"/>
    <n v="3"/>
    <n v="2397"/>
    <s v=""/>
    <n v="0"/>
    <n v="0"/>
    <n v="2397"/>
    <x v="0"/>
    <x v="0"/>
    <s v="Mumbai"/>
    <s v="Maharashtra"/>
    <s v="Mumbai"/>
    <d v="2024-10-06T00:00:00"/>
    <n v="5"/>
    <s v="Fast"/>
    <s v="Delivered"/>
    <n v="0"/>
    <n v="1"/>
    <s v="No"/>
    <n v="0"/>
    <s v=""/>
    <m/>
    <s v="Not Applicable"/>
  </r>
  <r>
    <s v="UT-100006"/>
    <d v="2024-10-02T00:00:00"/>
    <x v="0"/>
    <n v="40"/>
    <s v="Wednesday"/>
    <x v="0"/>
    <s v="Tuesday"/>
    <s v="CUST_10005"/>
    <x v="1"/>
    <s v="TOP-FRM-S"/>
    <s v="Tops"/>
    <s v="Printed Blouse"/>
    <n v="1599"/>
    <n v="2"/>
    <n v="3198"/>
    <s v=""/>
    <n v="0"/>
    <n v="0"/>
    <n v="3198"/>
    <x v="1"/>
    <x v="1"/>
    <s v="Hyderabad"/>
    <s v="Telangana"/>
    <s v="Bangalore"/>
    <d v="2024-10-07T00:00:00"/>
    <n v="5"/>
    <s v="Fast"/>
    <s v="Delivered"/>
    <n v="0"/>
    <n v="1"/>
    <s v="Yes"/>
    <n v="1"/>
    <s v="Changed Mind"/>
    <d v="2024-10-18T00:00:00"/>
    <s v="Processed"/>
  </r>
  <r>
    <s v="UT-100007"/>
    <d v="2024-10-02T00:00:00"/>
    <x v="0"/>
    <n v="40"/>
    <s v="Wednesday"/>
    <x v="0"/>
    <s v="Tuesday"/>
    <s v="CUST_10006"/>
    <x v="0"/>
    <s v="DRS-CAS-M"/>
    <s v="Dresses"/>
    <s v="A-Line Dress"/>
    <n v="2199"/>
    <n v="1"/>
    <n v="2199"/>
    <s v="DIWALI20"/>
    <n v="20"/>
    <n v="109.95"/>
    <n v="2089.0500000000002"/>
    <x v="2"/>
    <x v="0"/>
    <s v="Pune"/>
    <s v="Maharashtra"/>
    <s v="Mumbai"/>
    <m/>
    <n v="-45567"/>
    <s v="Fast"/>
    <s v="Cancelled"/>
    <n v="0"/>
    <n v="0"/>
    <s v="No"/>
    <n v="0"/>
    <s v=""/>
    <m/>
    <s v="Not Applicable"/>
  </r>
  <r>
    <s v="UT-100008"/>
    <d v="2024-10-02T00:00:00"/>
    <x v="0"/>
    <n v="40"/>
    <s v="Wednesday"/>
    <x v="0"/>
    <s v="Tuesday"/>
    <s v="CUST_10007"/>
    <x v="0"/>
    <s v="BOT-TRS-L"/>
    <s v="Bottoms"/>
    <s v="Formal Trousers"/>
    <n v="2299"/>
    <n v="1"/>
    <n v="2299"/>
    <s v=""/>
    <n v="0"/>
    <n v="0"/>
    <n v="2299"/>
    <x v="0"/>
    <x v="1"/>
    <s v="Kolkata"/>
    <s v="West Bengal"/>
    <s v="Delhi"/>
    <d v="2024-10-10T00:00:00"/>
    <n v="8"/>
    <s v="Standard"/>
    <s v="Delivered"/>
    <n v="0"/>
    <n v="1"/>
    <s v="No"/>
    <n v="0"/>
    <s v=""/>
    <m/>
    <s v="Not Applicable"/>
  </r>
  <r>
    <s v="UT-100009"/>
    <d v="2024-10-02T00:00:00"/>
    <x v="0"/>
    <n v="40"/>
    <s v="Wednesday"/>
    <x v="0"/>
    <s v="Tuesday"/>
    <s v="CUST_10008"/>
    <x v="1"/>
    <s v="TOP-CAS-XL"/>
    <s v="Tops"/>
    <s v="Oversized Tee"/>
    <n v="1399"/>
    <n v="5"/>
    <n v="6995"/>
    <s v=""/>
    <n v="0"/>
    <n v="0"/>
    <n v="6995"/>
    <x v="1"/>
    <x v="0"/>
    <s v="Ahmedabad"/>
    <s v="Gujarat"/>
    <s v="Mumbai"/>
    <d v="2024-10-09T00:00:00"/>
    <n v="7"/>
    <s v="Fast"/>
    <s v="Delivered"/>
    <n v="0"/>
    <n v="1"/>
    <s v="Yes"/>
    <n v="1"/>
    <s v="Size Issue"/>
    <d v="2024-10-22T00:00:00"/>
    <s v="Processed"/>
  </r>
  <r>
    <s v="UT-100010"/>
    <d v="2024-10-02T00:00:00"/>
    <x v="0"/>
    <n v="40"/>
    <s v="Wednesday"/>
    <x v="0"/>
    <s v="Tuesday"/>
    <s v="CUST_10009"/>
    <x v="0"/>
    <s v="OUT-BLZ-M"/>
    <s v="Outerwear"/>
    <s v="Casual Blazer"/>
    <n v="4999"/>
    <n v="-1"/>
    <n v="4999"/>
    <s v=""/>
    <n v="0"/>
    <n v="0"/>
    <n v="4999"/>
    <x v="3"/>
    <x v="2"/>
    <s v="Jaipur"/>
    <s v="Rajasthan"/>
    <s v="Delhi"/>
    <d v="2024-10-11T00:00:00"/>
    <n v="9"/>
    <s v="Standard"/>
    <s v="Delivered"/>
    <n v="0"/>
    <n v="1"/>
    <s v="Yes"/>
    <n v="1"/>
    <s v="Wrong Item"/>
    <d v="2024-10-25T00:00:00"/>
    <s v="Pending"/>
  </r>
  <r>
    <s v="UT-100011"/>
    <d v="2024-10-03T00:00:00"/>
    <x v="0"/>
    <n v="40"/>
    <s v="Thursday"/>
    <x v="0"/>
    <s v="Wednesday"/>
    <s v="CUST_10010"/>
    <x v="0"/>
    <s v="ACC-BAG-OS"/>
    <s v="Accessories"/>
    <s v="Tote Bag"/>
    <n v="1299"/>
    <n v="2"/>
    <n v="2598"/>
    <s v="FLAT10"/>
    <n v="10"/>
    <n v="259.8"/>
    <n v="2338.1999999999998"/>
    <x v="4"/>
    <x v="0"/>
    <s v="Lucknow"/>
    <s v="Uttar Pradesh"/>
    <s v="Delhi"/>
    <d v="2024-10-10T00:00:00"/>
    <n v="7"/>
    <s v="Fast"/>
    <s v="Delivered"/>
    <n v="0"/>
    <n v="1"/>
    <s v="No"/>
    <n v="0"/>
    <s v=""/>
    <m/>
    <s v="Not Applicable"/>
  </r>
  <r>
    <s v="UT-100012"/>
    <d v="2024-10-03T00:00:00"/>
    <x v="0"/>
    <n v="40"/>
    <s v="Thursday"/>
    <x v="0"/>
    <s v="Wednesday"/>
    <s v="CUST_10011"/>
    <x v="0"/>
    <s v="DRS-PRT-S"/>
    <s v="Dresses"/>
    <s v="Party Dress"/>
    <n v="3299"/>
    <n v="1"/>
    <n v="3299"/>
    <s v=""/>
    <n v="0"/>
    <n v="0"/>
    <n v="3299"/>
    <x v="2"/>
    <x v="1"/>
    <s v="Chandigarh"/>
    <s v="Punjab"/>
    <s v="Delhi"/>
    <m/>
    <n v="-45568"/>
    <s v="Fast"/>
    <s v="RTO"/>
    <n v="1"/>
    <n v="0"/>
    <s v="No"/>
    <n v="0"/>
    <s v=""/>
    <m/>
    <s v="Not Applicable"/>
  </r>
  <r>
    <s v="UT-100013"/>
    <d v="2024-10-03T00:00:00"/>
    <x v="0"/>
    <n v="40"/>
    <s v="Thursday"/>
    <x v="0"/>
    <s v="Wednesday"/>
    <s v="CUST_10012"/>
    <x v="1"/>
    <s v="TOP-SLK-M"/>
    <s v="Tops"/>
    <s v="Silk Blouse"/>
    <n v="2499"/>
    <n v="1"/>
    <n v="2499"/>
    <s v=""/>
    <n v="0"/>
    <n v="0"/>
    <n v="2499"/>
    <x v="1"/>
    <x v="0"/>
    <s v="Mumbai"/>
    <s v="Maharashtra"/>
    <s v="Mumbai"/>
    <d v="2024-10-09T00:00:00"/>
    <n v="6"/>
    <s v="Fast"/>
    <s v="Delivered"/>
    <n v="0"/>
    <n v="1"/>
    <s v="No"/>
    <n v="0"/>
    <s v=""/>
    <m/>
    <s v="Not Applicable"/>
  </r>
  <r>
    <s v="UT-100014"/>
    <d v="2024-10-03T00:00:00"/>
    <x v="0"/>
    <n v="40"/>
    <s v="Thursday"/>
    <x v="0"/>
    <s v="Wednesday"/>
    <s v="CUST_10013"/>
    <x v="0"/>
    <s v="BOT-SKT-S"/>
    <s v="Bottoms"/>
    <s v="Pleated Skirt"/>
    <n v="1799"/>
    <n v="2"/>
    <n v="3598"/>
    <s v="DIWALI20"/>
    <n v="20"/>
    <n v="179.9"/>
    <n v="3418.1"/>
    <x v="0"/>
    <x v="2"/>
    <s v="Delhi"/>
    <s v="Delhi"/>
    <s v="Delhi"/>
    <d v="2024-10-11T00:00:00"/>
    <n v="8"/>
    <s v="Standard"/>
    <s v="Delivered"/>
    <n v="0"/>
    <n v="1"/>
    <s v="Yes"/>
    <n v="1"/>
    <s v="Size Issue"/>
    <d v="2024-10-28T00:00:00"/>
    <s v="Processed"/>
  </r>
  <r>
    <s v="UT-100015"/>
    <d v="2024-10-03T00:00:00"/>
    <x v="0"/>
    <n v="40"/>
    <s v="Thursday"/>
    <x v="0"/>
    <s v="Wednesday"/>
    <s v="CUST_10014"/>
    <x v="0"/>
    <s v="OUT-CRD-L"/>
    <s v="Outerwear"/>
    <s v="Knit Cardigan"/>
    <n v="2799"/>
    <n v="1"/>
    <n v="2799"/>
    <s v=""/>
    <n v="0"/>
    <n v="0"/>
    <n v="2799"/>
    <x v="3"/>
    <x v="1"/>
    <s v="Bangalore"/>
    <s v="Karnataka"/>
    <s v="Bangalore"/>
    <d v="2024-10-12T00:00:00"/>
    <n v="9"/>
    <s v="Standard"/>
    <s v="Delivered"/>
    <n v="0"/>
    <n v="1"/>
    <s v="No"/>
    <n v="0"/>
    <s v=""/>
    <m/>
    <s v="Not Applicable"/>
  </r>
  <r>
    <s v="UT-100016"/>
    <d v="2024-10-04T00:00:00"/>
    <x v="0"/>
    <n v="40"/>
    <s v="Friday"/>
    <x v="0"/>
    <s v="Thursday"/>
    <s v="CUST_10015"/>
    <x v="1"/>
    <s v="ACC-JWL-OS"/>
    <s v="Accessories"/>
    <s v="Statement Earrings"/>
    <n v="599"/>
    <n v="4"/>
    <n v="2396"/>
    <s v=""/>
    <n v="0"/>
    <n v="0"/>
    <n v="2396"/>
    <x v="2"/>
    <x v="0"/>
    <s v="Noida"/>
    <s v="Uttar Pradesh"/>
    <s v="Delhi"/>
    <d v="2024-10-14T00:00:00"/>
    <n v="10"/>
    <s v="Standard"/>
    <s v="Delivered"/>
    <n v="0"/>
    <n v="1"/>
    <s v="Yes"/>
    <n v="1"/>
    <s v="Damaged in Transit"/>
    <d v="2024-10-26T00:00:00"/>
    <s v="Processed"/>
  </r>
  <r>
    <s v="UT-100017"/>
    <d v="2024-10-04T00:00:00"/>
    <x v="0"/>
    <n v="40"/>
    <s v="Friday"/>
    <x v="0"/>
    <s v="Thursday"/>
    <s v="CUST_10016"/>
    <x v="0"/>
    <s v="TOP-CRP-XS"/>
    <s v="Tops"/>
    <s v="Crop Top"/>
    <n v="999"/>
    <n v="1"/>
    <n v="999"/>
    <s v="FIRST15"/>
    <n v="15"/>
    <n v="66.599999999999994"/>
    <n v="932.4"/>
    <x v="0"/>
    <x v="1"/>
    <s v="Gurgaon"/>
    <s v="Haryana"/>
    <s v="Delhi"/>
    <d v="2024-10-12T00:00:00"/>
    <n v="8"/>
    <s v="Standard"/>
    <s v="Delievered"/>
    <n v="0"/>
    <n v="0"/>
    <s v="No"/>
    <n v="0"/>
    <s v=""/>
    <m/>
    <s v="Not Applicable"/>
  </r>
  <r>
    <s v="UT-100018"/>
    <d v="2024-10-04T00:00:00"/>
    <x v="0"/>
    <n v="40"/>
    <s v="Friday"/>
    <x v="0"/>
    <s v="Thursday"/>
    <s v="CUST_10017"/>
    <x v="0"/>
    <s v="DRS-MAX-M"/>
    <s v="Dresses"/>
    <s v="Maxi Dress"/>
    <n v="2899"/>
    <n v="1"/>
    <n v="2899"/>
    <s v=""/>
    <n v="0"/>
    <n v="0"/>
    <n v="2899"/>
    <x v="1"/>
    <x v="0"/>
    <s v="Indore"/>
    <s v="Madhya Pradesh"/>
    <s v="Mumbai"/>
    <d v="2024-10-14T00:00:00"/>
    <n v="10"/>
    <s v="Standard"/>
    <s v="Delivered"/>
    <n v="0"/>
    <n v="1"/>
    <s v="No"/>
    <n v="0"/>
    <s v=""/>
    <m/>
    <s v="Not Applicable"/>
  </r>
  <r>
    <s v="UT-100019"/>
    <d v="2024-10-04T00:00:00"/>
    <x v="0"/>
    <n v="40"/>
    <s v="Friday"/>
    <x v="0"/>
    <s v="Thursday"/>
    <s v="CUST_10018"/>
    <x v="1"/>
    <s v="BOT-JGR-M"/>
    <s v="Bottoms"/>
    <s v="Joggers"/>
    <n v="1499"/>
    <n v="2"/>
    <n v="2998"/>
    <s v=""/>
    <n v="0"/>
    <n v="0"/>
    <n v="2998"/>
    <x v="4"/>
    <x v="2"/>
    <s v="Surat"/>
    <s v="Gujarat"/>
    <s v="Mumbai"/>
    <d v="2024-10-13T00:00:00"/>
    <n v="9"/>
    <s v="Standard"/>
    <s v="Delivered"/>
    <n v="0"/>
    <n v="1"/>
    <s v="Yes"/>
    <n v="1"/>
    <s v="Size Issue"/>
    <d v="2024-10-30T00:00:00"/>
    <s v="Processed"/>
  </r>
  <r>
    <s v="UT-100020"/>
    <d v="2024-10-05T00:00:00"/>
    <x v="0"/>
    <n v="40"/>
    <s v="Saturday"/>
    <x v="0"/>
    <s v="Friday"/>
    <s v="CUST_10019"/>
    <x v="0"/>
    <s v="OUT-VST-S"/>
    <s v="Outerwear"/>
    <s v="Puffer Vest"/>
    <n v="3999"/>
    <n v="1"/>
    <n v="3999"/>
    <s v="DIWALI20"/>
    <n v="20"/>
    <n v="199.95"/>
    <n v="3799.05"/>
    <x v="2"/>
    <x v="0"/>
    <s v="Patna"/>
    <s v="Bihar"/>
    <s v="Delhi"/>
    <m/>
    <n v="-45570"/>
    <s v="Fast"/>
    <s v="RTO"/>
    <n v="1"/>
    <n v="0"/>
    <s v="No"/>
    <n v="0"/>
    <s v=""/>
    <m/>
    <s v="Not Applicable"/>
  </r>
  <r>
    <s v="UT-100021"/>
    <d v="2024-10-05T00:00:00"/>
    <x v="0"/>
    <n v="40"/>
    <s v="Saturday"/>
    <x v="0"/>
    <s v="Friday"/>
    <s v="CUST_10020"/>
    <x v="0"/>
    <s v="TOP-TUN-L"/>
    <s v="Tops"/>
    <s v="Tunic Top"/>
    <n v="1699"/>
    <n v="1"/>
    <n v="1699"/>
    <s v=""/>
    <n v="0"/>
    <n v="0"/>
    <n v="1699"/>
    <x v="0"/>
    <x v="1"/>
    <s v="Bhopal"/>
    <s v="Madhya Pradesh"/>
    <s v="Mumbai"/>
    <d v="2024-10-15T00:00:00"/>
    <n v="10"/>
    <s v="Standard"/>
    <s v="Delivered"/>
    <n v="0"/>
    <n v="1"/>
    <s v="No"/>
    <n v="0"/>
    <s v=""/>
    <m/>
    <s v="Not Applicable"/>
  </r>
  <r>
    <s v="UT-100022"/>
    <d v="2024-10-05T00:00:00"/>
    <x v="0"/>
    <n v="40"/>
    <s v="Saturday"/>
    <x v="0"/>
    <s v="Friday"/>
    <s v="CUST_10021"/>
    <x v="1"/>
    <s v="DRS-SHT-XS"/>
    <s v="Dresses"/>
    <s v="Shirt Dress"/>
    <n v="2399"/>
    <n v="1"/>
    <n v="2399"/>
    <s v=""/>
    <n v="0"/>
    <n v="0"/>
    <n v="2399"/>
    <x v="1"/>
    <x v="0"/>
    <s v="Nagpur"/>
    <s v="Maharashtra"/>
    <s v="Mumbai"/>
    <d v="2024-10-16T00:00:00"/>
    <n v="11"/>
    <s v="Standard"/>
    <s v="Delivered"/>
    <n v="0"/>
    <n v="1"/>
    <s v="Yes"/>
    <n v="1"/>
    <s v="Quality Defect"/>
    <d v="2024-11-02T00:00:00"/>
    <s v="Processed"/>
  </r>
  <r>
    <s v="UT-100023"/>
    <d v="2024-10-05T00:00:00"/>
    <x v="0"/>
    <n v="40"/>
    <s v="Saturday"/>
    <x v="0"/>
    <s v="Friday"/>
    <s v="CUST_10022"/>
    <x v="0"/>
    <s v="ACC-BLT-M"/>
    <s v="Accessories"/>
    <s v="Leather Belt"/>
    <n v="899"/>
    <n v="1"/>
    <n v="899"/>
    <s v="FLAT10"/>
    <n v="10"/>
    <n v="89.9"/>
    <n v="809.1"/>
    <x v="3"/>
    <x v="1"/>
    <s v="Coimbatore"/>
    <s v="Tamil Nadu"/>
    <s v="Bangalore"/>
    <d v="2024-10-17T00:00:00"/>
    <n v="12"/>
    <s v="Standard"/>
    <s v="Delivered"/>
    <n v="0"/>
    <n v="1"/>
    <s v="No"/>
    <n v="0"/>
    <s v=""/>
    <m/>
    <s v="Not Applicable"/>
  </r>
  <r>
    <s v="UT-100024"/>
    <d v="2024-10-06T00:00:00"/>
    <x v="0"/>
    <n v="40"/>
    <s v="Sunday"/>
    <x v="0"/>
    <s v="Saturday"/>
    <s v="CUST_10023"/>
    <x v="0"/>
    <s v="BOT-SHT-M"/>
    <s v="Bottoms"/>
    <s v="Cotton Shorts"/>
    <n v="1199"/>
    <n v="3"/>
    <n v="3597"/>
    <s v=""/>
    <n v="0"/>
    <n v="0"/>
    <n v="3597"/>
    <x v="2"/>
    <x v="2"/>
    <s v="Kochi"/>
    <s v="Kerala"/>
    <s v="Bangalore"/>
    <d v="2024-10-18T00:00:00"/>
    <n v="12"/>
    <s v="Standard"/>
    <s v="Delivered"/>
    <n v="0"/>
    <n v="1"/>
    <s v="Yes"/>
    <n v="1"/>
    <s v="Changed Mind"/>
    <d v="2024-11-05T00:00:00"/>
    <s v="Processed"/>
  </r>
  <r>
    <s v="UT-100025"/>
    <d v="2024-10-06T00:00:00"/>
    <x v="0"/>
    <n v="40"/>
    <s v="Sunday"/>
    <x v="0"/>
    <s v="Saturday"/>
    <s v="CUST_10024"/>
    <x v="0"/>
    <s v="TOP-PLO-L"/>
    <s v="Tops"/>
    <s v="Polo Shirt"/>
    <n v="1799"/>
    <n v="2"/>
    <n v="3598"/>
    <s v=""/>
    <n v="0"/>
    <n v="0"/>
    <n v="3598"/>
    <x v="0"/>
    <x v="0"/>
    <s v="Vizag"/>
    <s v="Andhra Pradesh"/>
    <s v="Bangalore"/>
    <d v="2024-10-17T00:00:00"/>
    <n v="11"/>
    <s v="Standard"/>
    <s v="Delivered"/>
    <n v="0"/>
    <n v="1"/>
    <s v="No"/>
    <n v="0"/>
    <s v=""/>
    <m/>
    <s v="Not Applicable"/>
  </r>
  <r>
    <s v="UT-100026"/>
    <d v="2024-10-06T00:00:00"/>
    <x v="0"/>
    <n v="40"/>
    <s v="Sunday"/>
    <x v="0"/>
    <s v="Saturday"/>
    <s v="CUST_10025"/>
    <x v="0"/>
    <s v="DRS-WRK-M"/>
    <s v="Dresses"/>
    <s v="Work Dress"/>
    <n v="2699"/>
    <n v="1"/>
    <n v="2699"/>
    <s v=""/>
    <n v="0"/>
    <n v="0"/>
    <n v="2699"/>
    <x v="1"/>
    <x v="1"/>
    <s v="Thiruvananthapuram"/>
    <s v="Kerala"/>
    <s v="Bangalore"/>
    <d v="2024-10-18T00:00:00"/>
    <n v="12"/>
    <s v="Standard"/>
    <s v="Delivered"/>
    <n v="0"/>
    <n v="1"/>
    <s v="No"/>
    <n v="0"/>
    <s v=""/>
    <m/>
    <s v="Not Applicable"/>
  </r>
  <r>
    <s v="UT-100027"/>
    <d v="2024-10-06T00:00:00"/>
    <x v="0"/>
    <n v="40"/>
    <s v="Sunday"/>
    <x v="0"/>
    <s v="Saturday"/>
    <s v="CUST_10026"/>
    <x v="1"/>
    <s v="OUT-TRN-L"/>
    <s v="Outerwear"/>
    <s v="Trench Coat"/>
    <n v="4599"/>
    <n v="1"/>
    <n v="4599"/>
    <s v="FLAT10"/>
    <n v="10"/>
    <n v="459.9"/>
    <n v="4139.1000000000004"/>
    <x v="3"/>
    <x v="0"/>
    <s v="Mysore"/>
    <s v="Karnataka"/>
    <s v="Bangalore"/>
    <d v="2024-10-19T00:00:00"/>
    <n v="13"/>
    <s v="Standard"/>
    <s v="Delivered"/>
    <n v="0"/>
    <n v="1"/>
    <s v="Yes"/>
    <n v="1"/>
    <s v="Size Issue"/>
    <d v="2024-11-08T00:00:00"/>
    <s v="Processed"/>
  </r>
  <r>
    <s v="UT-100028"/>
    <d v="2024-10-07T00:00:00"/>
    <x v="0"/>
    <n v="41"/>
    <s v="Monday"/>
    <x v="1"/>
    <s v="Sunday"/>
    <s v="CUST_10027"/>
    <x v="0"/>
    <s v="ACC-HAT-OS"/>
    <s v="Accessories"/>
    <s v="Fedora Hat"/>
    <n v="1099"/>
    <n v="1"/>
    <n v="1099"/>
    <s v=""/>
    <n v="0"/>
    <n v="0"/>
    <n v="1099"/>
    <x v="0"/>
    <x v="2"/>
    <s v="Vadodara"/>
    <s v="Gujarat"/>
    <s v="Mumbai"/>
    <d v="2024-10-20T00:00:00"/>
    <n v="13"/>
    <s v="Standard"/>
    <s v="Delivered"/>
    <n v="0"/>
    <n v="1"/>
    <s v="No"/>
    <n v="0"/>
    <s v=""/>
    <m/>
    <s v="Not Applicable"/>
  </r>
  <r>
    <s v="UT-100029"/>
    <d v="2024-10-07T00:00:00"/>
    <x v="0"/>
    <n v="41"/>
    <s v="Monday"/>
    <x v="1"/>
    <s v="Sunday"/>
    <s v="CUST_10028"/>
    <x v="0"/>
    <s v="TOP-DNM-M"/>
    <s v="Tops"/>
    <s v="Denim Shirt"/>
    <n v="1899"/>
    <n v="1"/>
    <n v="1899"/>
    <s v=""/>
    <n v="0"/>
    <n v="0"/>
    <n v="1899"/>
    <x v="2"/>
    <x v="1"/>
    <s v="Rajkot"/>
    <s v="Gujarat"/>
    <s v="Mumbai"/>
    <m/>
    <n v="-45572"/>
    <s v="Fast"/>
    <s v="RTO"/>
    <n v="1"/>
    <n v="0"/>
    <s v="No"/>
    <n v="0"/>
    <s v=""/>
    <m/>
    <s v="Not Applicable"/>
  </r>
  <r>
    <s v="UT-100030"/>
    <d v="2024-10-07T00:00:00"/>
    <x v="0"/>
    <n v="41"/>
    <s v="Monday"/>
    <x v="1"/>
    <s v="Sunday"/>
    <s v="CUST_10029"/>
    <x v="0"/>
    <s v="BOT-CRG-L"/>
    <s v="Bottoms"/>
    <s v="Cargo Pants"/>
    <n v="2199"/>
    <n v="1"/>
    <n v="2199"/>
    <s v="DIWALI20"/>
    <n v="20"/>
    <n v="109.95"/>
    <n v="2089.0500000000002"/>
    <x v="1"/>
    <x v="0"/>
    <s v="Kanpur"/>
    <s v="Uttar Pradesh"/>
    <s v="Delhi"/>
    <d v="2024-10-20T00:00:00"/>
    <n v="13"/>
    <s v="Standard"/>
    <s v="Delivered"/>
    <n v="0"/>
    <n v="1"/>
    <s v="No"/>
    <n v="0"/>
    <s v=""/>
    <m/>
    <s v="Not Applicable"/>
  </r>
  <r>
    <s v="UT-100031"/>
    <d v="2024-10-07T00:00:00"/>
    <x v="0"/>
    <n v="41"/>
    <s v="Monday"/>
    <x v="1"/>
    <s v="Sunday"/>
    <s v="CUST_10030"/>
    <x v="1"/>
    <s v="DRS-EVE-S"/>
    <s v="Dresses"/>
    <s v="Evening Gown"/>
    <n v="5499"/>
    <n v="1"/>
    <n v="5499"/>
    <s v=""/>
    <n v="0"/>
    <n v="0"/>
    <n v="5499"/>
    <x v="1"/>
    <x v="1"/>
    <s v="Mumbai"/>
    <s v="Maharashtra"/>
    <s v="Mumbai"/>
    <d v="2024-10-21T00:00:00"/>
    <n v="14"/>
    <s v="Standard"/>
    <s v="Delivered"/>
    <n v="0"/>
    <n v="1"/>
    <s v="Yes"/>
    <n v="1"/>
    <s v="Size Issue"/>
    <d v="2024-11-10T00:00:00"/>
    <s v="Processed"/>
  </r>
  <r>
    <s v="UT-100032"/>
    <d v="2024-10-08T00:00:00"/>
    <x v="0"/>
    <n v="41"/>
    <s v="Tuesday"/>
    <x v="1"/>
    <s v="Monday"/>
    <s v="CUST_10031"/>
    <x v="0"/>
    <s v="TOP-BAS-M"/>
    <s v="Tops"/>
    <s v="Basic Tank"/>
    <n v="899"/>
    <n v="2"/>
    <n v="1798"/>
    <s v=""/>
    <n v="0"/>
    <n v="0"/>
    <n v="1798"/>
    <x v="0"/>
    <x v="0"/>
    <s v="Delhi"/>
    <s v="Delhi"/>
    <s v="Delhi"/>
    <d v="2024-10-14T00:00:00"/>
    <n v="6"/>
    <s v="Fast"/>
    <s v="Delivered"/>
    <n v="0"/>
    <n v="1"/>
    <s v="No"/>
    <n v="0"/>
    <s v=""/>
    <m/>
    <s v="Not Applicable"/>
  </r>
  <r>
    <s v="UT-100033"/>
    <d v="2024-10-08T00:00:00"/>
    <x v="0"/>
    <n v="41"/>
    <s v="Tuesday"/>
    <x v="1"/>
    <s v="Monday"/>
    <s v="CUST_10032"/>
    <x v="0"/>
    <s v="OUT-WOL-L"/>
    <s v="Outerwear"/>
    <s v="Wool Coat"/>
    <n v="6999"/>
    <n v="1"/>
    <n v="6999"/>
    <s v="FIRST15"/>
    <n v="15"/>
    <n v="466.6"/>
    <n v="6532.4"/>
    <x v="3"/>
    <x v="2"/>
    <s v="Kolkata"/>
    <s v="West Bengal"/>
    <s v="Delhi"/>
    <d v="2024-10-16T00:00:00"/>
    <n v="8"/>
    <s v="Standard"/>
    <s v="Delivered"/>
    <n v="0"/>
    <n v="1"/>
    <s v="Yes"/>
    <n v="1"/>
    <s v="Quality Defect"/>
    <d v="2024-11-05T00:00:00"/>
    <s v="Processed"/>
  </r>
  <r>
    <s v="UT-100034"/>
    <d v="2024-10-08T00:00:00"/>
    <x v="0"/>
    <n v="41"/>
    <s v="Tuesday"/>
    <x v="1"/>
    <s v="Monday"/>
    <s v="CUST_10033"/>
    <x v="1"/>
    <s v="ACC-WCH-OS"/>
    <s v="Accessories"/>
    <s v="Fashion Watch"/>
    <n v="2999"/>
    <n v="1"/>
    <n v="2999"/>
    <s v=""/>
    <n v="0"/>
    <n v="0"/>
    <n v="2999"/>
    <x v="1"/>
    <x v="1"/>
    <s v="Chennai"/>
    <s v="Tamil Nadu"/>
    <s v="Bangalore"/>
    <d v="2024-10-15T00:00:00"/>
    <n v="7"/>
    <s v="Fast"/>
    <s v="Delivered"/>
    <n v="0"/>
    <n v="1"/>
    <s v="No"/>
    <n v="0"/>
    <s v=""/>
    <m/>
    <s v="Not Applicable"/>
  </r>
  <r>
    <s v="UT-100035"/>
    <d v="2024-10-08T00:00:00"/>
    <x v="0"/>
    <n v="41"/>
    <s v="Tuesday"/>
    <x v="1"/>
    <s v="Monday"/>
    <s v="CUST_10034"/>
    <x v="0"/>
    <s v="BOT-DNM-S"/>
    <s v="Bottoms"/>
    <s v="Denim Shorts"/>
    <n v="1599"/>
    <n v="1"/>
    <n v="1599"/>
    <s v=""/>
    <n v="0"/>
    <n v="0"/>
    <n v="1599"/>
    <x v="2"/>
    <x v="0"/>
    <s v="Hyderabad"/>
    <s v="Telangana"/>
    <s v="Bangalore"/>
    <d v="2024-10-17T00:00:00"/>
    <n v="9"/>
    <s v="Standard"/>
    <s v="Delivered"/>
    <n v="0"/>
    <n v="1"/>
    <s v="Yes"/>
    <n v="1"/>
    <s v="Size Issue"/>
    <d v="2024-11-08T00:00:00"/>
    <s v="Processed"/>
  </r>
  <r>
    <s v="UT-100036"/>
    <d v="2024-10-09T00:00:00"/>
    <x v="0"/>
    <n v="41"/>
    <s v="Wednesday"/>
    <x v="1"/>
    <s v="Tuesday"/>
    <s v="CUST_10035"/>
    <x v="0"/>
    <s v="DRS-SUN-M"/>
    <s v="Dresses"/>
    <s v="Sundress"/>
    <n v="1999"/>
    <n v="1"/>
    <n v="1999"/>
    <s v="DIWALI20"/>
    <n v="20"/>
    <n v="99.95"/>
    <n v="1899.05"/>
    <x v="4"/>
    <x v="1"/>
    <s v="Pune"/>
    <s v="Maharashtra"/>
    <s v="Mumbai"/>
    <d v="2024-10-16T00:00:00"/>
    <n v="7"/>
    <s v="Fast"/>
    <s v="Delivered"/>
    <n v="0"/>
    <n v="1"/>
    <s v="No"/>
    <n v="0"/>
    <s v=""/>
    <m/>
    <s v="Not Applicable"/>
  </r>
  <r>
    <s v="UT-100037"/>
    <d v="2024-10-09T00:00:00"/>
    <x v="0"/>
    <n v="41"/>
    <s v="Wednesday"/>
    <x v="1"/>
    <s v="Tuesday"/>
    <s v="CUST_10036"/>
    <x v="0"/>
    <s v="TOP-RFL-S"/>
    <s v="Tops"/>
    <s v="Ruffle Top"/>
    <n v="1799"/>
    <n v="1"/>
    <n v="1799"/>
    <s v=""/>
    <n v="0"/>
    <n v="0"/>
    <n v="1799"/>
    <x v="0"/>
    <x v="2"/>
    <s v="Ahmedabad"/>
    <s v="Gujarat"/>
    <s v="Mumbai"/>
    <d v="2024-10-17T00:00:00"/>
    <n v="8"/>
    <s v="Standard"/>
    <s v="Delivered"/>
    <n v="0"/>
    <n v="1"/>
    <s v="Yes"/>
    <n v="1"/>
    <s v="Changed Mind"/>
    <d v="2024-11-12T00:00:00"/>
    <s v="Processed"/>
  </r>
  <r>
    <s v="UT-100038"/>
    <d v="2024-10-09T00:00:00"/>
    <x v="0"/>
    <n v="41"/>
    <s v="Wednesday"/>
    <x v="1"/>
    <s v="Tuesday"/>
    <s v="CUST_10037"/>
    <x v="1"/>
    <s v="OUT-LTH-M"/>
    <s v="Outerwear"/>
    <s v="Leather Jacket"/>
    <n v="7999"/>
    <n v="1"/>
    <n v="7999"/>
    <s v=""/>
    <n v="0"/>
    <n v="0"/>
    <n v="7999"/>
    <x v="1"/>
    <x v="0"/>
    <s v="Jaipur"/>
    <s v="Rajasthan"/>
    <s v="Delhi"/>
    <d v="2024-10-18T00:00:00"/>
    <n v="9"/>
    <s v="Standard"/>
    <s v="Delivered"/>
    <n v="0"/>
    <n v="1"/>
    <s v="No"/>
    <n v="0"/>
    <s v=""/>
    <m/>
    <s v="Not Applicable"/>
  </r>
  <r>
    <s v="UT-100039"/>
    <d v="2024-10-09T00:00:00"/>
    <x v="0"/>
    <n v="41"/>
    <s v="Wednesday"/>
    <x v="1"/>
    <s v="Tuesday"/>
    <s v="CUST_10038"/>
    <x v="0"/>
    <s v="ACC-SNG-OS"/>
    <s v="Accessories"/>
    <s v="Sunglasses"/>
    <n v="1499"/>
    <n v="1"/>
    <n v="1499"/>
    <s v="FLAT10"/>
    <n v="10"/>
    <n v="149.9"/>
    <n v="1349.1"/>
    <x v="3"/>
    <x v="1"/>
    <s v="Lucknow"/>
    <s v="Uttar Pradesh"/>
    <s v="Delhi"/>
    <d v="2024-10-17T00:00:00"/>
    <n v="8"/>
    <s v="Standard"/>
    <s v="Delivered"/>
    <n v="0"/>
    <n v="1"/>
    <s v="No"/>
    <n v="0"/>
    <s v=""/>
    <m/>
    <s v="Not Applicable"/>
  </r>
  <r>
    <s v="UT-100040"/>
    <d v="2024-10-10T00:00:00"/>
    <x v="0"/>
    <n v="41"/>
    <s v="Thursday"/>
    <x v="1"/>
    <s v="Wednesday"/>
    <s v="CUST_10039"/>
    <x v="0"/>
    <s v="BOT-PLZ-L"/>
    <s v="Bottoms"/>
    <s v="Palazzo Pants"/>
    <n v="1699"/>
    <n v="1"/>
    <n v="1699"/>
    <s v=""/>
    <n v="0"/>
    <n v="0"/>
    <n v="1699"/>
    <x v="2"/>
    <x v="0"/>
    <s v="Bangalore"/>
    <s v="Karnataka"/>
    <s v="Bangalore"/>
    <d v="2024-10-19T00:00:00"/>
    <n v="9"/>
    <s v="Standard"/>
    <s v="Delivered"/>
    <n v="0"/>
    <n v="1"/>
    <s v="Yes"/>
    <n v="1"/>
    <s v="Size Issue"/>
    <d v="2024-11-10T00:00:00"/>
    <s v="Processed"/>
  </r>
  <r>
    <s v="UT-100041"/>
    <d v="2024-10-10T00:00:00"/>
    <x v="0"/>
    <n v="41"/>
    <s v="Thursday"/>
    <x v="1"/>
    <s v="Wednesday"/>
    <s v="CUST_10040"/>
    <x v="0"/>
    <s v="DRS-BDC-S"/>
    <s v="Dresses"/>
    <s v="Bodycon Dress"/>
    <n v="2299"/>
    <n v="1"/>
    <n v="2299"/>
    <s v=""/>
    <n v="0"/>
    <n v="0"/>
    <n v="2299"/>
    <x v="0"/>
    <x v="2"/>
    <s v="Mumbai"/>
    <s v="Maharashtra"/>
    <s v="Mumbai"/>
    <d v="2024-10-18T00:00:00"/>
    <n v="8"/>
    <s v="Standard"/>
    <s v="Delivered"/>
    <n v="0"/>
    <n v="1"/>
    <s v="No"/>
    <n v="0"/>
    <s v=""/>
    <m/>
    <s v="Not Applicable"/>
  </r>
  <r>
    <s v="UT-100042"/>
    <d v="2024-10-10T00:00:00"/>
    <x v="0"/>
    <n v="41"/>
    <s v="Thursday"/>
    <x v="1"/>
    <s v="Wednesday"/>
    <s v="CUST_10041"/>
    <x v="1"/>
    <s v="TOP-OFF-M"/>
    <s v="Tops"/>
    <s v="Off-Shoulder Top"/>
    <n v="1599"/>
    <n v="2"/>
    <n v="3198"/>
    <s v="DIWALI20"/>
    <n v="20"/>
    <n v="159.9"/>
    <n v="3038.1"/>
    <x v="1"/>
    <x v="1"/>
    <s v="Delhi"/>
    <s v="Delhi"/>
    <s v="Delhi"/>
    <d v="2024-10-17T00:00:00"/>
    <n v="7"/>
    <s v="Fast"/>
    <s v="Delivered"/>
    <n v="0"/>
    <n v="1"/>
    <s v="Yes"/>
    <n v="1"/>
    <s v="Wrong Item"/>
    <d v="2024-11-08T00:00:00"/>
    <s v="Processed"/>
  </r>
  <r>
    <s v="UT-100043"/>
    <d v="2024-10-10T00:00:00"/>
    <x v="0"/>
    <n v="41"/>
    <s v="Thursday"/>
    <x v="1"/>
    <s v="Wednesday"/>
    <s v="CUST_10042"/>
    <x v="0"/>
    <s v="OUT-DNM-L"/>
    <s v="Outerwear"/>
    <s v="Denim Vest"/>
    <n v="2499"/>
    <n v="1"/>
    <n v="2499"/>
    <s v=""/>
    <n v="0"/>
    <n v="0"/>
    <n v="2499"/>
    <x v="4"/>
    <x v="0"/>
    <s v="Chandigarh"/>
    <s v="Punjab"/>
    <s v="Delhi"/>
    <d v="2024-10-20T00:00:00"/>
    <n v="10"/>
    <s v="Standard"/>
    <s v="Delivered"/>
    <n v="0"/>
    <n v="1"/>
    <s v="No"/>
    <n v="0"/>
    <s v=""/>
    <m/>
    <s v="Not Applicable"/>
  </r>
  <r>
    <s v="UT-100044"/>
    <d v="2024-10-11T00:00:00"/>
    <x v="0"/>
    <n v="41"/>
    <s v="Friday"/>
    <x v="1"/>
    <s v="Thursday"/>
    <s v="CUST_10043"/>
    <x v="0"/>
    <s v="ACC-HBG-OS"/>
    <s v="Accessories"/>
    <s v="Hobo Bag"/>
    <n v="1899"/>
    <n v="1"/>
    <n v="1899"/>
    <s v=""/>
    <n v="0"/>
    <n v="0"/>
    <n v="1899"/>
    <x v="3"/>
    <x v="2"/>
    <s v="Noida"/>
    <s v="Uttar Pradesh"/>
    <s v="Delhi"/>
    <d v="2024-10-21T00:00:00"/>
    <n v="10"/>
    <s v="Standard"/>
    <s v="Delivered"/>
    <n v="0"/>
    <n v="1"/>
    <s v="Yes"/>
    <n v="1"/>
    <s v="Damaged in Transit"/>
    <d v="2024-11-12T00:00:00"/>
    <s v="Processed"/>
  </r>
  <r>
    <s v="UT-100045"/>
    <d v="2024-10-11T00:00:00"/>
    <x v="0"/>
    <n v="41"/>
    <s v="Friday"/>
    <x v="1"/>
    <s v="Thursday"/>
    <s v="CUST_10044"/>
    <x v="0"/>
    <s v="BOT-CHP-M"/>
    <s v="Bottoms"/>
    <s v="Chino Pants"/>
    <n v="1999"/>
    <n v="1"/>
    <n v="1999"/>
    <s v="FIRST15"/>
    <n v="15"/>
    <n v="133.26666666666668"/>
    <n v="1865.7333333333333"/>
    <x v="0"/>
    <x v="1"/>
    <s v="Gurgaon"/>
    <s v="Haryana"/>
    <s v="Delhi"/>
    <d v="2024-10-19T00:00:00"/>
    <n v="8"/>
    <s v="Standard"/>
    <s v="Delivered"/>
    <n v="0"/>
    <n v="1"/>
    <s v="No"/>
    <n v="0"/>
    <s v=""/>
    <m/>
    <s v="Not Applicable"/>
  </r>
  <r>
    <s v="UT-100046"/>
    <d v="2024-10-11T00:00:00"/>
    <x v="0"/>
    <n v="41"/>
    <s v="Friday"/>
    <x v="1"/>
    <s v="Thursday"/>
    <s v="CUST_10045"/>
    <x v="1"/>
    <s v="DRS-WRP-M"/>
    <s v="Dresses"/>
    <s v="Wrap Dress"/>
    <n v="2599"/>
    <n v="1"/>
    <n v="2599"/>
    <s v=""/>
    <n v="0"/>
    <n v="0"/>
    <n v="2599"/>
    <x v="1"/>
    <x v="0"/>
    <s v="Indore"/>
    <s v="Madhya Pradesh"/>
    <s v="Mumbai"/>
    <d v="2024-10-20T00:00:00"/>
    <n v="9"/>
    <s v="Standard"/>
    <s v="Delivered"/>
    <n v="0"/>
    <n v="1"/>
    <s v="No"/>
    <n v="0"/>
    <s v=""/>
    <m/>
    <s v="Not Applicable"/>
  </r>
  <r>
    <s v="UT-100047"/>
    <d v="2024-10-11T00:00:00"/>
    <x v="0"/>
    <n v="41"/>
    <s v="Friday"/>
    <x v="1"/>
    <s v="Thursday"/>
    <s v="CUST_10046"/>
    <x v="0"/>
    <s v="TOP-STR-S"/>
    <s v="Tops"/>
    <s v="Striped Tee"/>
    <n v="1299"/>
    <n v="1"/>
    <n v="1299"/>
    <s v=""/>
    <n v="0"/>
    <n v="0"/>
    <n v="1299"/>
    <x v="2"/>
    <x v="2"/>
    <s v="Surat"/>
    <s v="Gujarat"/>
    <s v="Mumbai"/>
    <m/>
    <n v="-45576"/>
    <s v="Fast"/>
    <s v="RTO"/>
    <n v="1"/>
    <n v="0"/>
    <s v="No"/>
    <n v="0"/>
    <s v=""/>
    <m/>
    <s v="Not Applicable"/>
  </r>
  <r>
    <s v="UT-100048"/>
    <d v="2024-10-12T00:00:00"/>
    <x v="0"/>
    <n v="41"/>
    <s v="Saturday"/>
    <x v="1"/>
    <s v="Friday"/>
    <s v="CUST_10047"/>
    <x v="0"/>
    <s v="OUT-PRK-XL"/>
    <s v="Outerwear"/>
    <s v="Parka Jacket"/>
    <n v="5999"/>
    <n v="1"/>
    <n v="5999"/>
    <s v="DIWALI20"/>
    <n v="20"/>
    <n v="299.95"/>
    <n v="5699.05"/>
    <x v="1"/>
    <x v="1"/>
    <s v="Patna"/>
    <s v="Bihar"/>
    <s v="Delhi"/>
    <d v="2024-10-22T00:00:00"/>
    <n v="10"/>
    <s v="Standard"/>
    <s v="Delivered"/>
    <n v="0"/>
    <n v="1"/>
    <s v="Yes"/>
    <n v="1"/>
    <s v="Size Issue"/>
    <d v="2024-11-15T00:00:00"/>
    <s v="Processed"/>
  </r>
  <r>
    <s v="UT-100049"/>
    <d v="2024-10-12T00:00:00"/>
    <x v="0"/>
    <n v="41"/>
    <s v="Saturday"/>
    <x v="1"/>
    <s v="Friday"/>
    <s v="CUST_10048"/>
    <x v="0"/>
    <s v="ACC-EAR-OS"/>
    <s v="Accessories"/>
    <s v="Hoop Earrings"/>
    <n v="799"/>
    <n v="2"/>
    <n v="1598"/>
    <s v=""/>
    <n v="0"/>
    <n v="0"/>
    <n v="1598"/>
    <x v="0"/>
    <x v="0"/>
    <s v="Bhopal"/>
    <s v="Madhya Pradesh"/>
    <s v="Mumbai"/>
    <d v="2024-10-20T00:00:00"/>
    <n v="8"/>
    <s v="Standard"/>
    <s v="Delivered"/>
    <n v="0"/>
    <n v="1"/>
    <s v="No"/>
    <n v="0"/>
    <s v=""/>
    <m/>
    <s v="Not Applicable"/>
  </r>
  <r>
    <s v="UT-100050"/>
    <d v="2024-10-12T00:00:00"/>
    <x v="0"/>
    <n v="41"/>
    <s v="Saturday"/>
    <x v="1"/>
    <s v="Friday"/>
    <s v="CUST_10049"/>
    <x v="1"/>
    <s v="BOT-LGN-S"/>
    <s v="Bottoms"/>
    <s v="Leggings"/>
    <n v="999"/>
    <n v="2"/>
    <n v="1998"/>
    <s v=""/>
    <n v="0"/>
    <n v="0"/>
    <n v="1998"/>
    <x v="4"/>
    <x v="1"/>
    <s v="Nagpur"/>
    <s v="Maharashtra"/>
    <s v="Mumbai"/>
    <d v="2024-10-19T00:00:00"/>
    <n v="7"/>
    <s v="Fast"/>
    <s v="Delivered"/>
    <n v="0"/>
    <n v="1"/>
    <s v="No"/>
    <n v="0"/>
    <s v=""/>
    <m/>
    <s v="Not Applicable"/>
  </r>
  <r>
    <s v="UT-100051"/>
    <d v="2024-10-12T00:00:00"/>
    <x v="0"/>
    <n v="41"/>
    <s v="Saturday"/>
    <x v="1"/>
    <s v="Friday"/>
    <s v="CUST_10050"/>
    <x v="0"/>
    <s v="DRS-CTN-L"/>
    <s v="Dresses"/>
    <s v="Cotton Dress"/>
    <n v="1899"/>
    <n v="1"/>
    <n v="1899"/>
    <s v=""/>
    <n v="0"/>
    <n v="0"/>
    <n v="1899"/>
    <x v="3"/>
    <x v="2"/>
    <s v="Coimbatore"/>
    <s v="Tamil Nadu"/>
    <s v="Bangalore"/>
    <d v="2024-10-22T00:00:00"/>
    <n v="10"/>
    <s v="Standard"/>
    <s v="Delivered"/>
    <n v="0"/>
    <n v="1"/>
    <s v="Yes"/>
    <n v="1"/>
    <s v="Quality Defect"/>
    <d v="2024-11-14T00:00:00"/>
    <s v="Processed"/>
  </r>
  <r>
    <s v="UT-100052"/>
    <d v="2024-10-13T00:00:00"/>
    <x v="0"/>
    <n v="41"/>
    <s v="Sunday"/>
    <x v="1"/>
    <s v="Saturday"/>
    <s v="CUST_10051"/>
    <x v="0"/>
    <s v="TOP-LCE-M"/>
    <s v="Tops"/>
    <s v="Lace Top"/>
    <n v="1699"/>
    <n v="1"/>
    <n v="1699"/>
    <s v="FLAT10"/>
    <n v="10"/>
    <n v="169.9"/>
    <n v="1529.1"/>
    <x v="1"/>
    <x v="0"/>
    <s v="Kochi"/>
    <s v="Kerala"/>
    <s v="Bangalore"/>
    <d v="2024-10-21T00:00:00"/>
    <n v="8"/>
    <s v="Standard"/>
    <s v="Delivered"/>
    <n v="0"/>
    <n v="1"/>
    <s v="No"/>
    <n v="0"/>
    <s v=""/>
    <m/>
    <s v="Not Applicable"/>
  </r>
  <r>
    <s v="UT-100053"/>
    <d v="2024-10-13T00:00:00"/>
    <x v="0"/>
    <n v="41"/>
    <s v="Sunday"/>
    <x v="1"/>
    <s v="Saturday"/>
    <s v="CUST_10052"/>
    <x v="0"/>
    <s v="OUT-BOM-M"/>
    <s v="Outerwear"/>
    <s v="Bomber Jacket"/>
    <n v="3799"/>
    <n v="1"/>
    <n v="3799"/>
    <s v=""/>
    <n v="0"/>
    <n v="0"/>
    <n v="3799"/>
    <x v="0"/>
    <x v="1"/>
    <s v="Vizag"/>
    <s v="Andhra Pradesh"/>
    <s v="Bangalore"/>
    <d v="2024-10-23T00:00:00"/>
    <n v="10"/>
    <s v="Standard"/>
    <s v="Delivered"/>
    <n v="0"/>
    <n v="1"/>
    <s v="Yes"/>
    <n v="1"/>
    <s v="Size Issue"/>
    <d v="2024-11-18T00:00:00"/>
    <s v="Processed"/>
  </r>
  <r>
    <s v="UT-100054"/>
    <d v="2024-10-13T00:00:00"/>
    <x v="0"/>
    <n v="41"/>
    <s v="Sunday"/>
    <x v="1"/>
    <s v="Saturday"/>
    <s v="CUST_10053"/>
    <x v="1"/>
    <s v="ACC-NCK-OS"/>
    <s v="Accessories"/>
    <s v="Pendant Necklace"/>
    <n v="1299"/>
    <n v="1"/>
    <n v="1299"/>
    <s v=""/>
    <n v="0"/>
    <n v="0"/>
    <n v="1299"/>
    <x v="2"/>
    <x v="2"/>
    <s v="Thiruvananthapuram"/>
    <s v="Kerala"/>
    <s v="Bangalore"/>
    <d v="2024-10-22T00:00:00"/>
    <n v="9"/>
    <s v="Standard"/>
    <s v="Delivered"/>
    <n v="0"/>
    <n v="1"/>
    <s v="No"/>
    <n v="0"/>
    <s v=""/>
    <m/>
    <s v="Not Applicable"/>
  </r>
  <r>
    <s v="UT-100055"/>
    <d v="2024-10-13T00:00:00"/>
    <x v="0"/>
    <n v="41"/>
    <s v="Sunday"/>
    <x v="1"/>
    <s v="Saturday"/>
    <s v="CUST_10054"/>
    <x v="0"/>
    <s v="BOT-WID-M"/>
    <s v="Bottoms"/>
    <s v="Wide Leg Pants"/>
    <n v="2099"/>
    <n v="1"/>
    <n v="2099"/>
    <s v="DIWALI20"/>
    <n v="20"/>
    <n v="104.95"/>
    <n v="1994.05"/>
    <x v="1"/>
    <x v="0"/>
    <s v="Mysore"/>
    <s v="Karnataka"/>
    <s v="Bangalore"/>
    <d v="2024-10-24T00:00:00"/>
    <n v="11"/>
    <s v="Standard"/>
    <s v="Delivered"/>
    <n v="0"/>
    <n v="1"/>
    <s v="No"/>
    <n v="0"/>
    <s v=""/>
    <m/>
    <s v="Not Applicable"/>
  </r>
  <r>
    <s v="UT-100056"/>
    <d v="2024-10-14T00:00:00"/>
    <x v="0"/>
    <n v="42"/>
    <s v="Monday"/>
    <x v="2"/>
    <s v="Sunday"/>
    <s v="CUST_10055"/>
    <x v="0"/>
    <s v="DRS-TIR-S"/>
    <s v="Dresses"/>
    <s v="Tiered Dress"/>
    <n v="2799"/>
    <n v="1"/>
    <n v="2799"/>
    <s v=""/>
    <n v="0"/>
    <n v="0"/>
    <n v="2799"/>
    <x v="3"/>
    <x v="1"/>
    <s v="Vadodara"/>
    <s v="Gujarat"/>
    <s v="Mumbai"/>
    <d v="2024-10-23T00:00:00"/>
    <n v="9"/>
    <s v="Standard"/>
    <s v="Delivered"/>
    <n v="0"/>
    <n v="1"/>
    <s v="Yes"/>
    <n v="1"/>
    <s v="Changed Mind"/>
    <d v="2024-11-16T00:00:00"/>
    <s v="Processed"/>
  </r>
  <r>
    <s v="UT-100057"/>
    <d v="2024-10-14T00:00:00"/>
    <x v="0"/>
    <n v="42"/>
    <s v="Monday"/>
    <x v="2"/>
    <s v="Sunday"/>
    <s v="CUST_10056"/>
    <x v="0"/>
    <s v="TOP-PEP-M"/>
    <s v="Tops"/>
    <s v="Peplum Top"/>
    <n v="1499"/>
    <n v="1"/>
    <n v="1499"/>
    <s v=""/>
    <n v="0"/>
    <n v="0"/>
    <n v="1499"/>
    <x v="4"/>
    <x v="0"/>
    <s v="Rajkot"/>
    <s v="Gujarat"/>
    <s v="Mumbai"/>
    <d v="2024-10-22T00:00:00"/>
    <n v="8"/>
    <s v="Standard"/>
    <s v="Delivered"/>
    <n v="0"/>
    <n v="1"/>
    <s v="No"/>
    <n v="0"/>
    <s v=""/>
    <m/>
    <s v="Not Applicable"/>
  </r>
  <r>
    <s v="UT-100058"/>
    <d v="2024-10-14T00:00:00"/>
    <x v="0"/>
    <n v="42"/>
    <s v="Monday"/>
    <x v="2"/>
    <s v="Sunday"/>
    <s v="CUST_10057"/>
    <x v="1"/>
    <s v="OUT-QTD-L"/>
    <s v="Outerwear"/>
    <s v="Quilted Jacket"/>
    <n v="4499"/>
    <n v="1"/>
    <n v="4499"/>
    <s v="FIRST15"/>
    <n v="15"/>
    <n v="299.93333333333334"/>
    <n v="4199.0666666666666"/>
    <x v="0"/>
    <x v="2"/>
    <s v="Kanpur"/>
    <s v="Uttar Pradesh"/>
    <s v="Delhi"/>
    <d v="2024-10-25T00:00:00"/>
    <n v="11"/>
    <s v="Standard"/>
    <s v="Delivered"/>
    <n v="0"/>
    <n v="1"/>
    <s v="Yes"/>
    <n v="1"/>
    <s v="Wrong Item"/>
    <d v="2024-11-20T00:00:00"/>
    <s v="Processed"/>
  </r>
  <r>
    <s v="UT-100059"/>
    <d v="2024-10-14T00:00:00"/>
    <x v="0"/>
    <n v="42"/>
    <s v="Monday"/>
    <x v="2"/>
    <s v="Sunday"/>
    <s v="CUST_10058"/>
    <x v="0"/>
    <s v="ACC-BRC-OS"/>
    <s v="Accessories"/>
    <s v="Charm Bracelet"/>
    <n v="899"/>
    <n v="1"/>
    <n v="899"/>
    <s v=""/>
    <n v="0"/>
    <n v="0"/>
    <n v="899"/>
    <x v="1"/>
    <x v="1"/>
    <s v="Mumbai"/>
    <s v="Maharashtra"/>
    <s v="Mumbai"/>
    <d v="2024-10-23T00:00:00"/>
    <n v="9"/>
    <s v="Standard"/>
    <s v="Delivered"/>
    <n v="0"/>
    <n v="1"/>
    <s v="No"/>
    <n v="0"/>
    <s v=""/>
    <m/>
    <s v="Not Applicable"/>
  </r>
  <r>
    <s v="UT-100060"/>
    <d v="2024-10-15T00:00:00"/>
    <x v="0"/>
    <n v="42"/>
    <s v="Tuesday"/>
    <x v="2"/>
    <s v="Monday"/>
    <s v="CUST_10059"/>
    <x v="0"/>
    <s v="BOT-CRP-S"/>
    <s v="Bottoms"/>
    <s v="Cropped Pants"/>
    <n v="1799"/>
    <n v="1"/>
    <n v="1799"/>
    <s v=""/>
    <n v="0"/>
    <n v="0"/>
    <n v="1799"/>
    <x v="2"/>
    <x v="0"/>
    <s v="Delhi"/>
    <s v="Delhi"/>
    <s v="Delhi"/>
    <m/>
    <n v="-45580"/>
    <s v="Fast"/>
    <s v="RTO"/>
    <n v="1"/>
    <n v="0"/>
    <s v="No"/>
    <n v="0"/>
    <s v=""/>
    <m/>
    <s v="Not Applicable"/>
  </r>
  <r>
    <s v="UT-100061"/>
    <d v="2024-10-15T00:00:00"/>
    <x v="0"/>
    <n v="42"/>
    <s v="Tuesday"/>
    <x v="2"/>
    <s v="Monday"/>
    <s v="CUST_10060"/>
    <x v="0"/>
    <s v="DRS-SLP-M"/>
    <s v="Dresses"/>
    <s v="Slip Dress"/>
    <n v="2199"/>
    <n v="1"/>
    <n v="2199"/>
    <s v="DIWALI20"/>
    <n v="20"/>
    <n v="109.95"/>
    <n v="2089.0500000000002"/>
    <x v="3"/>
    <x v="2"/>
    <s v="Kolkata"/>
    <s v="West Bengal"/>
    <s v="Delhi"/>
    <d v="2024-10-26T00:00:00"/>
    <n v="11"/>
    <s v="Standard"/>
    <s v="Delivered"/>
    <n v="0"/>
    <n v="1"/>
    <s v="Yes"/>
    <n v="1"/>
    <s v="Size Issue"/>
    <d v="2024-11-22T00:00:00"/>
    <s v="Processed"/>
  </r>
  <r>
    <s v="UT-100062"/>
    <d v="2024-10-15T00:00:00"/>
    <x v="0"/>
    <n v="42"/>
    <s v="Tuesday"/>
    <x v="2"/>
    <s v="Monday"/>
    <s v="CUST_10061"/>
    <x v="1"/>
    <s v="TOP-HLT-L"/>
    <s v="Tops"/>
    <s v="Halter Top"/>
    <n v="1399"/>
    <n v="1"/>
    <n v="1399"/>
    <s v=""/>
    <n v="0"/>
    <n v="0"/>
    <n v="1399"/>
    <x v="0"/>
    <x v="1"/>
    <s v="Chennai"/>
    <s v="Tamil Nadu"/>
    <s v="Bangalore"/>
    <d v="2024-10-24T00:00:00"/>
    <n v="9"/>
    <s v="Standard"/>
    <s v="Delivered"/>
    <n v="0"/>
    <n v="1"/>
    <s v="No"/>
    <n v="0"/>
    <s v=""/>
    <m/>
    <s v="Not Applicable"/>
  </r>
  <r>
    <s v="UT-100063"/>
    <d v="2024-10-15T00:00:00"/>
    <x v="0"/>
    <n v="42"/>
    <s v="Tuesday"/>
    <x v="2"/>
    <s v="Monday"/>
    <s v="CUST_10062"/>
    <x v="0"/>
    <s v="OUT-FLC-M"/>
    <s v="Outerwear"/>
    <s v="Fleece Jacket"/>
    <n v="2999"/>
    <n v="1"/>
    <n v="2999"/>
    <s v=""/>
    <n v="0"/>
    <n v="0"/>
    <n v="2999"/>
    <x v="1"/>
    <x v="0"/>
    <s v="Hyderabad"/>
    <s v="Telangana"/>
    <s v="Bangalore"/>
    <d v="2024-10-27T00:00:00"/>
    <n v="12"/>
    <s v="Standard"/>
    <s v="Delivered"/>
    <n v="0"/>
    <n v="1"/>
    <s v="Yes"/>
    <n v="1"/>
    <s v="Quality Defect"/>
    <d v="2024-11-24T00:00:00"/>
    <s v="Processed"/>
  </r>
  <r>
    <s v="UT-100064"/>
    <d v="2024-10-16T00:00:00"/>
    <x v="0"/>
    <n v="42"/>
    <s v="Wednesday"/>
    <x v="2"/>
    <s v="Tuesday"/>
    <s v="CUST_10063"/>
    <x v="0"/>
    <s v="ACC-RNG-OS"/>
    <s v="Accessories"/>
    <s v="Cocktail Ring"/>
    <n v="699"/>
    <n v="2"/>
    <n v="1398"/>
    <s v="FLAT10"/>
    <n v="10"/>
    <n v="139.80000000000001"/>
    <n v="1258.2"/>
    <x v="4"/>
    <x v="2"/>
    <s v="Pune"/>
    <s v="Maharashtra"/>
    <s v="Mumbai"/>
    <d v="2024-10-25T00:00:00"/>
    <n v="9"/>
    <s v="Standard"/>
    <s v="Delivered"/>
    <n v="0"/>
    <n v="1"/>
    <s v="No"/>
    <n v="0"/>
    <s v=""/>
    <m/>
    <s v="Not Applicable"/>
  </r>
  <r>
    <s v="UT-100065"/>
    <d v="2024-10-16T00:00:00"/>
    <x v="0"/>
    <n v="42"/>
    <s v="Wednesday"/>
    <x v="2"/>
    <s v="Tuesday"/>
    <s v="CUST_10064"/>
    <x v="0"/>
    <s v="BOT-SKN-M"/>
    <s v="Bottoms"/>
    <s v="Skinny Jeans"/>
    <n v="2199"/>
    <n v="1"/>
    <n v="2199"/>
    <s v=""/>
    <n v="0"/>
    <n v="0"/>
    <n v="2199"/>
    <x v="2"/>
    <x v="1"/>
    <s v="Ahmedabad"/>
    <s v="Gujarat"/>
    <s v="Mumbai"/>
    <d v="2024-10-28T00:00:00"/>
    <n v="12"/>
    <s v="Standard"/>
    <s v="Delivered"/>
    <n v="0"/>
    <n v="1"/>
    <s v="Yes"/>
    <n v="1"/>
    <s v="Size Issue"/>
    <d v="2024-11-25T00:00:00"/>
    <s v="Processed"/>
  </r>
  <r>
    <s v="UT-100066"/>
    <d v="2024-10-16T00:00:00"/>
    <x v="0"/>
    <n v="42"/>
    <s v="Wednesday"/>
    <x v="2"/>
    <s v="Tuesday"/>
    <s v="CUST_10065"/>
    <x v="1"/>
    <s v="DRS-KNT-S"/>
    <s v="Dresses"/>
    <s v="Knit Dress"/>
    <n v="2499"/>
    <n v="1"/>
    <n v="2499"/>
    <s v=""/>
    <n v="0"/>
    <n v="0"/>
    <n v="2499"/>
    <x v="1"/>
    <x v="0"/>
    <s v="Jaipur"/>
    <s v="Rajasthan"/>
    <s v="Delhi"/>
    <d v="2024-10-26T00:00:00"/>
    <n v="10"/>
    <s v="Standard"/>
    <s v="Delivered"/>
    <n v="0"/>
    <n v="1"/>
    <s v="No"/>
    <n v="0"/>
    <s v=""/>
    <m/>
    <s v="Not Applicable"/>
  </r>
  <r>
    <s v="UT-100067"/>
    <d v="2024-10-16T00:00:00"/>
    <x v="0"/>
    <n v="42"/>
    <s v="Wednesday"/>
    <x v="2"/>
    <s v="Tuesday"/>
    <s v="CUST_10066"/>
    <x v="0"/>
    <s v="TOP-EMB-M"/>
    <s v="Tops"/>
    <s v="Embroidered Top"/>
    <n v="1899"/>
    <n v="1"/>
    <n v="1899"/>
    <s v="DIWALI20"/>
    <n v="20"/>
    <n v="94.95"/>
    <n v="1804.05"/>
    <x v="0"/>
    <x v="2"/>
    <s v="Lucknow"/>
    <s v="Uttar Pradesh"/>
    <s v="Delhi"/>
    <d v="2024-10-27T00:00:00"/>
    <n v="11"/>
    <s v="Standard"/>
    <s v="Delivered"/>
    <n v="0"/>
    <n v="1"/>
    <s v="Yes"/>
    <n v="1"/>
    <s v="Changed Mind"/>
    <d v="2024-11-20T00:00:00"/>
    <s v="Processed"/>
  </r>
  <r>
    <s v="UT-100068"/>
    <d v="2024-10-17T00:00:00"/>
    <x v="0"/>
    <n v="42"/>
    <s v="Thursday"/>
    <x v="2"/>
    <s v="Wednesday"/>
    <s v="CUST_10067"/>
    <x v="0"/>
    <s v="OUT-SHR-L"/>
    <s v="Outerwear"/>
    <s v="Shrug"/>
    <n v="1299"/>
    <n v="1"/>
    <n v="1299"/>
    <s v=""/>
    <n v="0"/>
    <n v="0"/>
    <n v="1299"/>
    <x v="3"/>
    <x v="1"/>
    <s v="Bangalore"/>
    <s v="Karnataka"/>
    <s v="Bangalore"/>
    <d v="2024-10-28T00:00:00"/>
    <n v="11"/>
    <s v="Standard"/>
    <s v="Delivered"/>
    <n v="0"/>
    <n v="1"/>
    <s v="No"/>
    <n v="0"/>
    <s v=""/>
    <m/>
    <s v="Not Applicable"/>
  </r>
  <r>
    <s v="UT-100069"/>
    <d v="2024-10-17T00:00:00"/>
    <x v="0"/>
    <n v="42"/>
    <s v="Thursday"/>
    <x v="2"/>
    <s v="Wednesday"/>
    <s v="CUST_10068"/>
    <x v="0"/>
    <s v="ACC-CLT-OS"/>
    <s v="Accessories"/>
    <s v="Clutch Bag"/>
    <n v="1599"/>
    <n v="1"/>
    <n v="1599"/>
    <s v=""/>
    <n v="0"/>
    <n v="0"/>
    <n v="1599"/>
    <x v="1"/>
    <x v="0"/>
    <s v="Mumbai"/>
    <s v="Maharashtra"/>
    <s v="Mumbai"/>
    <d v="2024-10-27T00:00:00"/>
    <n v="10"/>
    <s v="Standard"/>
    <s v="Delivered"/>
    <n v="0"/>
    <n v="1"/>
    <s v="Yes"/>
    <n v="1"/>
    <s v="Damaged in Transit"/>
    <d v="2024-11-22T00:00:00"/>
    <s v="Processed"/>
  </r>
  <r>
    <s v="UT-100070"/>
    <d v="2024-10-17T00:00:00"/>
    <x v="0"/>
    <n v="42"/>
    <s v="Thursday"/>
    <x v="2"/>
    <s v="Wednesday"/>
    <s v="CUST_10069"/>
    <x v="1"/>
    <s v="BOT-FLR-S"/>
    <s v="Bottoms"/>
    <s v="Flared Jeans"/>
    <n v="2099"/>
    <n v="1"/>
    <n v="2099"/>
    <s v="FIRST15"/>
    <n v="15"/>
    <n v="139.93333333333334"/>
    <n v="1959.0666666666666"/>
    <x v="0"/>
    <x v="2"/>
    <s v="Delhi"/>
    <s v="Delhi"/>
    <s v="Delhi"/>
    <d v="2024-10-29T00:00:00"/>
    <n v="12"/>
    <s v="Standard"/>
    <s v="Delivered"/>
    <n v="0"/>
    <n v="1"/>
    <s v="No"/>
    <n v="0"/>
    <s v=""/>
    <m/>
    <s v="Not Applicable"/>
  </r>
  <r>
    <s v="UT-100071"/>
    <d v="2024-10-17T00:00:00"/>
    <x v="0"/>
    <n v="42"/>
    <s v="Thursday"/>
    <x v="2"/>
    <s v="Wednesday"/>
    <s v="CUST_10070"/>
    <x v="0"/>
    <s v="DRS-PIN-M"/>
    <s v="Dresses"/>
    <s v="Pinafore Dress"/>
    <n v="2299"/>
    <n v="1"/>
    <n v="2299"/>
    <s v=""/>
    <n v="0"/>
    <n v="0"/>
    <n v="2299"/>
    <x v="2"/>
    <x v="1"/>
    <s v="Chandigarh"/>
    <s v="Punjab"/>
    <s v="Delhi"/>
    <m/>
    <n v="-45582"/>
    <s v="Fast"/>
    <s v="RTO"/>
    <n v="1"/>
    <n v="0"/>
    <s v="No"/>
    <n v="0"/>
    <s v=""/>
    <m/>
    <s v="Not Applicable"/>
  </r>
  <r>
    <s v="UT-100072"/>
    <d v="2024-10-18T00:00:00"/>
    <x v="0"/>
    <n v="42"/>
    <s v="Friday"/>
    <x v="2"/>
    <s v="Thursday"/>
    <s v="CUST_10071"/>
    <x v="0"/>
    <s v="TOP-CRW-L"/>
    <s v="Tops"/>
    <s v="Crew Neck Tee"/>
    <n v="1199"/>
    <n v="2"/>
    <n v="2398"/>
    <s v=""/>
    <n v="0"/>
    <n v="0"/>
    <n v="2398"/>
    <x v="4"/>
    <x v="0"/>
    <s v="Noida"/>
    <s v="Uttar Pradesh"/>
    <s v="Delhi"/>
    <d v="2024-10-28T00:00:00"/>
    <n v="10"/>
    <s v="Standard"/>
    <s v="Delivered"/>
    <n v="0"/>
    <n v="1"/>
    <s v="No"/>
    <n v="0"/>
    <s v=""/>
    <m/>
    <s v="Not Applicable"/>
  </r>
  <r>
    <s v="UT-100073"/>
    <d v="2024-10-18T00:00:00"/>
    <x v="0"/>
    <n v="42"/>
    <s v="Friday"/>
    <x v="2"/>
    <s v="Thursday"/>
    <s v="CUST_10072"/>
    <x v="0"/>
    <s v="OUT-CDG-M"/>
    <s v="Outerwear"/>
    <s v="Cardigan"/>
    <n v="2599"/>
    <n v="1"/>
    <n v="2599"/>
    <s v="DIWALI20"/>
    <n v="20"/>
    <n v="129.94999999999999"/>
    <n v="2469.0500000000002"/>
    <x v="1"/>
    <x v="2"/>
    <s v="Gurgaon"/>
    <s v="Haryana"/>
    <s v="Delhi"/>
    <d v="2024-10-30T00:00:00"/>
    <n v="12"/>
    <s v="Standard"/>
    <s v="Delivered"/>
    <n v="0"/>
    <n v="1"/>
    <s v="Yes"/>
    <n v="1"/>
    <s v="Size Issue"/>
    <d v="2024-11-26T00:00:00"/>
    <s v="Processed"/>
  </r>
  <r>
    <s v="UT-100074"/>
    <d v="2024-10-18T00:00:00"/>
    <x v="0"/>
    <n v="42"/>
    <s v="Friday"/>
    <x v="2"/>
    <s v="Thursday"/>
    <s v="CUST_10073"/>
    <x v="1"/>
    <s v="ACC-SCR-OS"/>
    <s v="Accessories"/>
    <s v="Hair Scrunchie"/>
    <n v="299"/>
    <n v="5"/>
    <n v="1495"/>
    <s v=""/>
    <n v="0"/>
    <n v="0"/>
    <n v="1495"/>
    <x v="0"/>
    <x v="1"/>
    <s v="Indore"/>
    <s v="Madhya Pradesh"/>
    <s v="Mumbai"/>
    <d v="2024-10-27T00:00:00"/>
    <n v="9"/>
    <s v="Standard"/>
    <s v="Delivered"/>
    <n v="0"/>
    <n v="1"/>
    <s v="No"/>
    <n v="0"/>
    <s v=""/>
    <m/>
    <s v="Not Applicable"/>
  </r>
  <r>
    <s v="UT-100075"/>
    <d v="2024-10-18T00:00:00"/>
    <x v="0"/>
    <n v="42"/>
    <s v="Friday"/>
    <x v="2"/>
    <s v="Thursday"/>
    <s v="CUST_10074"/>
    <x v="0"/>
    <s v="BOT-PPR-M"/>
    <s v="Bottoms"/>
    <s v="Paper Bag Pants"/>
    <n v="1899"/>
    <n v="1"/>
    <n v="1899"/>
    <s v=""/>
    <n v="0"/>
    <n v="0"/>
    <n v="1899"/>
    <x v="3"/>
    <x v="0"/>
    <s v="Surat"/>
    <s v="Gujarat"/>
    <s v="Mumbai"/>
    <d v="2024-10-30T00:00:00"/>
    <n v="12"/>
    <s v="Standard"/>
    <s v="Delivered"/>
    <n v="0"/>
    <n v="1"/>
    <s v="Yes"/>
    <n v="1"/>
    <s v="Wrong Item"/>
    <d v="2024-11-28T00:00:00"/>
    <s v="Processed"/>
  </r>
  <r>
    <s v="UT-100076"/>
    <d v="2024-10-19T00:00:00"/>
    <x v="0"/>
    <n v="42"/>
    <s v="Saturday"/>
    <x v="2"/>
    <s v="Friday"/>
    <s v="CUST_10075"/>
    <x v="0"/>
    <s v="DRS-SMK-S"/>
    <s v="Dresses"/>
    <s v="Smocked Dress"/>
    <n v="2199"/>
    <n v="1"/>
    <n v="2199"/>
    <s v=""/>
    <n v="0"/>
    <n v="0"/>
    <n v="2199"/>
    <x v="1"/>
    <x v="2"/>
    <s v="Patna"/>
    <s v="Bihar"/>
    <s v="Delhi"/>
    <d v="2024-10-31T00:00:00"/>
    <n v="12"/>
    <s v="Standard"/>
    <s v="Delivered"/>
    <n v="0"/>
    <n v="1"/>
    <s v="No"/>
    <n v="0"/>
    <s v=""/>
    <m/>
    <s v="Not Applicable"/>
  </r>
  <r>
    <s v="UT-100077"/>
    <d v="2024-10-19T00:00:00"/>
    <x v="0"/>
    <n v="42"/>
    <s v="Saturday"/>
    <x v="2"/>
    <s v="Friday"/>
    <s v="CUST_10076"/>
    <x v="0"/>
    <s v="TOP-BTN-M"/>
    <s v="Tops"/>
    <s v="Button-Down Shirt"/>
    <n v="1799"/>
    <n v="1"/>
    <n v="1799"/>
    <s v="FLAT10"/>
    <n v="10"/>
    <n v="179.9"/>
    <n v="1619.1"/>
    <x v="2"/>
    <x v="1"/>
    <s v="Bhopal"/>
    <s v="Madhya Pradesh"/>
    <s v="Mumbai"/>
    <d v="2024-10-29T00:00:00"/>
    <n v="10"/>
    <s v="Standard"/>
    <s v="Delivered"/>
    <n v="0"/>
    <n v="1"/>
    <s v="Yes"/>
    <n v="1"/>
    <s v="Quality Defect"/>
    <d v="2024-11-25T00:00:00"/>
    <s v="Processed"/>
  </r>
  <r>
    <s v="UT-100078"/>
    <d v="2024-10-19T00:00:00"/>
    <x v="0"/>
    <n v="42"/>
    <s v="Saturday"/>
    <x v="2"/>
    <s v="Friday"/>
    <s v="CUST_10077"/>
    <x v="1"/>
    <s v="OUT-VLV-L"/>
    <s v="Outerwear"/>
    <s v="Velvet Blazer"/>
    <n v="4999"/>
    <n v="1"/>
    <n v="4999"/>
    <s v=""/>
    <n v="0"/>
    <n v="0"/>
    <n v="4999"/>
    <x v="0"/>
    <x v="0"/>
    <s v="Nagpur"/>
    <s v="Maharashtra"/>
    <s v="Mumbai"/>
    <d v="2024-11-01T00:00:00"/>
    <n v="13"/>
    <s v="Standard"/>
    <s v="Delivered"/>
    <n v="0"/>
    <n v="1"/>
    <s v="No"/>
    <n v="0"/>
    <s v=""/>
    <m/>
    <s v="Not Applicable"/>
  </r>
  <r>
    <s v="UT-100079"/>
    <d v="2024-10-19T00:00:00"/>
    <x v="0"/>
    <n v="42"/>
    <s v="Saturday"/>
    <x v="2"/>
    <s v="Friday"/>
    <s v="CUST_10078"/>
    <x v="0"/>
    <s v="ACC-TOT-OS"/>
    <s v="Accessories"/>
    <s v="Canvas Tote"/>
    <n v="999"/>
    <n v="1"/>
    <n v="999"/>
    <s v=""/>
    <n v="0"/>
    <n v="0"/>
    <n v="999"/>
    <x v="4"/>
    <x v="2"/>
    <s v="Coimbatore"/>
    <s v="Tamil Nadu"/>
    <s v="Bangalore"/>
    <d v="2024-10-30T00:00:00"/>
    <n v="11"/>
    <s v="Standard"/>
    <s v="Delivered"/>
    <n v="0"/>
    <n v="1"/>
    <s v="Yes"/>
    <n v="1"/>
    <s v="Size Issue"/>
    <d v="2024-11-28T00:00:00"/>
    <s v="Processed"/>
  </r>
  <r>
    <s v="UT-100080"/>
    <d v="2024-10-20T00:00:00"/>
    <x v="0"/>
    <n v="42"/>
    <s v="Sunday"/>
    <x v="2"/>
    <s v="Saturday"/>
    <s v="CUST_10079"/>
    <x v="0"/>
    <s v="BOT-CRG-S"/>
    <s v="Bottoms"/>
    <s v="Cargo Shorts"/>
    <n v="1499"/>
    <n v="1"/>
    <n v="1499"/>
    <s v="DIWALI20"/>
    <n v="20"/>
    <n v="74.95"/>
    <n v="1424.05"/>
    <x v="1"/>
    <x v="1"/>
    <s v="Kochi"/>
    <s v="Kerala"/>
    <s v="Bangalore"/>
    <d v="2024-10-31T00:00:00"/>
    <n v="11"/>
    <s v="Standard"/>
    <s v="Delivered"/>
    <n v="0"/>
    <n v="1"/>
    <s v="No"/>
    <n v="0"/>
    <s v=""/>
    <m/>
    <s v="Not Applicable"/>
  </r>
  <r>
    <s v="UT-100081"/>
    <d v="2024-10-20T00:00:00"/>
    <x v="0"/>
    <n v="42"/>
    <s v="Sunday"/>
    <x v="2"/>
    <s v="Saturday"/>
    <s v="CUST_10080"/>
    <x v="0"/>
    <s v="DRS-BTR-M"/>
    <s v="Dresses"/>
    <s v="Butterfly Dress"/>
    <n v="2899"/>
    <n v="1"/>
    <n v="2899"/>
    <s v=""/>
    <n v="0"/>
    <n v="0"/>
    <n v="2899"/>
    <x v="3"/>
    <x v="0"/>
    <s v="Vizag"/>
    <s v="Andhra Pradesh"/>
    <s v="Bangalore"/>
    <d v="2024-11-02T00:00:00"/>
    <n v="13"/>
    <s v="Standard"/>
    <s v="Delivered"/>
    <n v="0"/>
    <n v="1"/>
    <s v="Yes"/>
    <n v="1"/>
    <s v="Changed Mind"/>
    <d v="2024-11-30T00:00:00"/>
    <s v="Processed"/>
  </r>
  <r>
    <s v="UT-100082"/>
    <d v="2024-10-20T00:00:00"/>
    <x v="0"/>
    <n v="42"/>
    <s v="Sunday"/>
    <x v="2"/>
    <s v="Saturday"/>
    <s v="CUST_10081"/>
    <x v="1"/>
    <s v="TOP-VNK-L"/>
    <s v="Tops"/>
    <s v="V-Neck Tee"/>
    <n v="1099"/>
    <n v="2"/>
    <n v="2198"/>
    <s v=""/>
    <n v="0"/>
    <n v="0"/>
    <n v="2198"/>
    <x v="0"/>
    <x v="2"/>
    <s v="Thiruvananthapuram"/>
    <s v="Kerala"/>
    <s v="Bangalore"/>
    <d v="2024-10-30T00:00:00"/>
    <n v="10"/>
    <s v="Standard"/>
    <s v="Delivered"/>
    <n v="0"/>
    <n v="1"/>
    <s v="No"/>
    <n v="0"/>
    <s v=""/>
    <m/>
    <s v="Not Applicable"/>
  </r>
  <r>
    <s v="UT-100083"/>
    <d v="2024-10-20T00:00:00"/>
    <x v="0"/>
    <n v="42"/>
    <s v="Sunday"/>
    <x v="2"/>
    <s v="Saturday"/>
    <s v="CUST_10082"/>
    <x v="0"/>
    <s v="OUT-TRN-M"/>
    <s v="Outerwear"/>
    <s v="Trench Coat"/>
    <n v="5499"/>
    <n v="1"/>
    <n v="5499"/>
    <s v="FIRST15"/>
    <n v="15"/>
    <n v="366.6"/>
    <n v="5132.3999999999996"/>
    <x v="1"/>
    <x v="1"/>
    <s v="Mysore"/>
    <s v="Karnataka"/>
    <s v="Bangalore"/>
    <d v="2024-11-03T00:00:00"/>
    <n v="14"/>
    <s v="Standard"/>
    <s v="Delivered"/>
    <n v="0"/>
    <n v="1"/>
    <s v="Yes"/>
    <n v="1"/>
    <s v="Size Issue"/>
    <d v="2024-12-01T00:00:00"/>
    <s v="Processed"/>
  </r>
  <r>
    <s v="UT-100084"/>
    <d v="2024-10-21T00:00:00"/>
    <x v="0"/>
    <n v="43"/>
    <s v="Monday"/>
    <x v="3"/>
    <s v="Sunday"/>
    <s v="CUST_10083"/>
    <x v="0"/>
    <s v="ACC-BDY-OS"/>
    <s v="Accessories"/>
    <s v="Body Chain"/>
    <n v="799"/>
    <n v="1"/>
    <n v="799"/>
    <s v=""/>
    <n v="0"/>
    <n v="0"/>
    <n v="799"/>
    <x v="2"/>
    <x v="0"/>
    <s v="Vadodara"/>
    <s v="Gujarat"/>
    <s v="Mumbai"/>
    <m/>
    <n v="-45586"/>
    <s v="Fast"/>
    <s v="RTO"/>
    <n v="1"/>
    <n v="0"/>
    <s v="No"/>
    <n v="0"/>
    <s v=""/>
    <m/>
    <s v="Not Applicable"/>
  </r>
  <r>
    <s v="UT-100085"/>
    <d v="2024-10-21T00:00:00"/>
    <x v="0"/>
    <n v="43"/>
    <s v="Monday"/>
    <x v="3"/>
    <s v="Sunday"/>
    <s v="CUST_10084"/>
    <x v="0"/>
    <s v="BOT-JGR-L"/>
    <s v="Bottoms"/>
    <s v="Jogger Pants"/>
    <n v="1599"/>
    <n v="1"/>
    <n v="1599"/>
    <s v=""/>
    <n v="0"/>
    <n v="0"/>
    <n v="1599"/>
    <x v="4"/>
    <x v="2"/>
    <s v="Rajkot"/>
    <s v="Gujarat"/>
    <s v="Mumbai"/>
    <d v="2024-11-02T00:00:00"/>
    <n v="12"/>
    <s v="Standard"/>
    <s v="Delivered"/>
    <n v="0"/>
    <n v="1"/>
    <s v="No"/>
    <n v="0"/>
    <s v=""/>
    <m/>
    <s v="Not Applicable"/>
  </r>
  <r>
    <s v="UT-100086"/>
    <d v="2024-10-21T00:00:00"/>
    <x v="0"/>
    <n v="43"/>
    <s v="Monday"/>
    <x v="3"/>
    <s v="Sunday"/>
    <s v="CUST_10085"/>
    <x v="1"/>
    <s v="DRS-RFL-S"/>
    <s v="Dresses"/>
    <s v="Ruffle Dress"/>
    <n v="2699"/>
    <n v="1"/>
    <n v="2699"/>
    <s v="DIWALI20"/>
    <n v="20"/>
    <n v="134.94999999999999"/>
    <n v="2564.0500000000002"/>
    <x v="1"/>
    <x v="1"/>
    <s v="Kanpur"/>
    <s v="Uttar Pradesh"/>
    <s v="Delhi"/>
    <d v="2024-11-01T00:00:00"/>
    <n v="11"/>
    <s v="Standard"/>
    <s v="Delivered"/>
    <n v="0"/>
    <n v="1"/>
    <s v="Yes"/>
    <n v="1"/>
    <s v="Quality Defect"/>
    <d v="2024-11-30T00:00:00"/>
    <s v="Processed"/>
  </r>
  <r>
    <s v="UT-100087"/>
    <d v="2024-10-21T00:00:00"/>
    <x v="0"/>
    <n v="43"/>
    <s v="Monday"/>
    <x v="3"/>
    <s v="Sunday"/>
    <s v="CUST_10086"/>
    <x v="0"/>
    <s v="TOP-SQR-M"/>
    <s v="Tops"/>
    <s v="Square Neck Top"/>
    <n v="1499"/>
    <n v="1"/>
    <n v="1499"/>
    <s v=""/>
    <n v="0"/>
    <n v="0"/>
    <n v="1499"/>
    <x v="0"/>
    <x v="0"/>
    <s v="Mumbai"/>
    <s v="Maharashtra"/>
    <s v="Mumbai"/>
    <d v="2024-11-02T00:00:00"/>
    <n v="12"/>
    <s v="Standard"/>
    <s v="Delivered"/>
    <n v="0"/>
    <n v="1"/>
    <s v="No"/>
    <n v="0"/>
    <s v=""/>
    <m/>
    <s v="Not Applicable"/>
  </r>
  <r>
    <s v="UT-100088"/>
    <d v="2024-10-22T00:00:00"/>
    <x v="0"/>
    <n v="43"/>
    <s v="Tuesday"/>
    <x v="3"/>
    <s v="Monday"/>
    <s v="CUST_10087"/>
    <x v="0"/>
    <s v="OUT-WND-L"/>
    <s v="Outerwear"/>
    <s v="Windbreaker"/>
    <n v="3299"/>
    <n v="1"/>
    <n v="3299"/>
    <s v=""/>
    <n v="0"/>
    <n v="0"/>
    <n v="3299"/>
    <x v="3"/>
    <x v="2"/>
    <s v="Delhi"/>
    <s v="Delhi"/>
    <s v="Delhi"/>
    <d v="2024-11-04T00:00:00"/>
    <n v="13"/>
    <s v="Standard"/>
    <s v="Delivered"/>
    <n v="0"/>
    <n v="1"/>
    <s v="Yes"/>
    <n v="1"/>
    <s v="Wrong Item"/>
    <d v="2024-12-03T00:00:00"/>
    <s v="Processed"/>
  </r>
  <r>
    <s v="UT-100089"/>
    <d v="2024-10-22T00:00:00"/>
    <x v="0"/>
    <n v="43"/>
    <s v="Tuesday"/>
    <x v="3"/>
    <s v="Monday"/>
    <s v="CUST_10088"/>
    <x v="0"/>
    <s v="ACC-ANK-OS"/>
    <s v="Accessories"/>
    <s v="Anklet"/>
    <n v="499"/>
    <n v="2"/>
    <n v="998"/>
    <s v="FLAT10"/>
    <n v="10"/>
    <n v="99.8"/>
    <n v="898.2"/>
    <x v="1"/>
    <x v="1"/>
    <s v="Kolkata"/>
    <s v="West Bengal"/>
    <s v="Delhi"/>
    <d v="2024-11-01T00:00:00"/>
    <n v="10"/>
    <s v="Standard"/>
    <s v="Delivered"/>
    <n v="0"/>
    <n v="1"/>
    <s v="No"/>
    <n v="0"/>
    <s v=""/>
    <m/>
    <s v="Not Applicable"/>
  </r>
  <r>
    <s v="UT-100090"/>
    <d v="2024-10-22T00:00:00"/>
    <x v="0"/>
    <n v="43"/>
    <s v="Tuesday"/>
    <x v="3"/>
    <s v="Monday"/>
    <s v="CUST_10089"/>
    <x v="1"/>
    <s v="BOT-TRS-M"/>
    <s v="Bottoms"/>
    <s v="Tailored Trousers"/>
    <n v="2399"/>
    <n v="1"/>
    <n v="2399"/>
    <s v=""/>
    <n v="0"/>
    <n v="0"/>
    <n v="2399"/>
    <x v="0"/>
    <x v="0"/>
    <s v="Chennai"/>
    <s v="Tamil Nadu"/>
    <s v="Bangalore"/>
    <d v="2024-11-03T00:00:00"/>
    <n v="12"/>
    <s v="Standard"/>
    <s v="Delivered"/>
    <n v="0"/>
    <n v="1"/>
    <s v="No"/>
    <n v="0"/>
    <s v=""/>
    <m/>
    <s v="Not Applicable"/>
  </r>
  <r>
    <s v="UT-100091"/>
    <d v="2024-10-22T00:00:00"/>
    <x v="0"/>
    <n v="43"/>
    <s v="Tuesday"/>
    <x v="3"/>
    <s v="Monday"/>
    <s v="CUST_10090"/>
    <x v="0"/>
    <s v="DRS-LST-M"/>
    <s v="Dresses"/>
    <s v="Lace Trim Dress"/>
    <n v="2599"/>
    <n v="1"/>
    <n v="2599"/>
    <s v=""/>
    <n v="0"/>
    <n v="0"/>
    <n v="2599"/>
    <x v="2"/>
    <x v="2"/>
    <s v="Hyderabad"/>
    <s v="Telangana"/>
    <s v="Bangalore"/>
    <m/>
    <n v="-45587"/>
    <s v="Fast"/>
    <s v="RTO"/>
    <n v="1"/>
    <n v="0"/>
    <s v="No"/>
    <n v="0"/>
    <s v=""/>
    <m/>
    <s v="Not Applicable"/>
  </r>
  <r>
    <s v="UT-100092"/>
    <d v="2024-10-23T00:00:00"/>
    <x v="0"/>
    <n v="43"/>
    <s v="Wednesday"/>
    <x v="3"/>
    <s v="Tuesday"/>
    <s v="CUST_10091"/>
    <x v="0"/>
    <s v="TOP-TIE-S"/>
    <s v="Tops"/>
    <s v="Tie-Front Top"/>
    <n v="1399"/>
    <n v="1"/>
    <n v="1399"/>
    <s v="DIWALI20"/>
    <n v="20"/>
    <n v="69.95"/>
    <n v="1329.05"/>
    <x v="4"/>
    <x v="1"/>
    <s v="Pune"/>
    <s v="Maharashtra"/>
    <s v="Mumbai"/>
    <d v="2024-11-03T00:00:00"/>
    <n v="11"/>
    <s v="Standard"/>
    <s v="Delivered"/>
    <n v="0"/>
    <n v="1"/>
    <s v="Yes"/>
    <n v="1"/>
    <s v="Size Issue"/>
    <d v="2024-12-02T00:00:00"/>
    <s v="Processed"/>
  </r>
  <r>
    <s v="UT-100093"/>
    <d v="2024-10-23T00:00:00"/>
    <x v="0"/>
    <n v="43"/>
    <s v="Wednesday"/>
    <x v="3"/>
    <s v="Tuesday"/>
    <s v="CUST_10092"/>
    <x v="0"/>
    <s v="OUT-PUF-M"/>
    <s v="Outerwear"/>
    <s v="Puffer Jacket"/>
    <n v="4299"/>
    <n v="1"/>
    <n v="4299"/>
    <s v=""/>
    <n v="0"/>
    <n v="0"/>
    <n v="4299"/>
    <x v="1"/>
    <x v="0"/>
    <s v="Ahmedabad"/>
    <s v="Gujarat"/>
    <s v="Mumbai"/>
    <d v="2024-11-05T00:00:00"/>
    <n v="13"/>
    <s v="Standard"/>
    <s v="Delivered"/>
    <n v="0"/>
    <n v="1"/>
    <s v="No"/>
    <n v="0"/>
    <s v=""/>
    <m/>
    <s v="Not Applicable"/>
  </r>
  <r>
    <s v="UT-100094"/>
    <d v="2024-10-23T00:00:00"/>
    <x v="0"/>
    <n v="43"/>
    <s v="Wednesday"/>
    <x v="3"/>
    <s v="Tuesday"/>
    <s v="CUST_10093"/>
    <x v="1"/>
    <s v="ACC-HDR-OS"/>
    <s v="Accessories"/>
    <s v="Hairband"/>
    <n v="399"/>
    <n v="3"/>
    <n v="1197"/>
    <s v=""/>
    <n v="0"/>
    <n v="0"/>
    <n v="1197"/>
    <x v="0"/>
    <x v="2"/>
    <s v="Jaipur"/>
    <s v="Rajasthan"/>
    <s v="Delhi"/>
    <d v="2024-11-02T00:00:00"/>
    <n v="10"/>
    <s v="Standard"/>
    <s v="Delivered"/>
    <n v="0"/>
    <n v="1"/>
    <s v="No"/>
    <n v="0"/>
    <s v=""/>
    <m/>
    <s v="Not Applicable"/>
  </r>
  <r>
    <s v="UT-100095"/>
    <d v="2024-10-23T00:00:00"/>
    <x v="0"/>
    <n v="43"/>
    <s v="Wednesday"/>
    <x v="3"/>
    <s v="Tuesday"/>
    <s v="CUST_10094"/>
    <x v="0"/>
    <s v="BOT-PLT-L"/>
    <s v="Bottoms"/>
    <s v="Pleated Trousers"/>
    <n v="2199"/>
    <n v="1"/>
    <n v="2199"/>
    <s v="FIRST15"/>
    <n v="15"/>
    <n v="146.6"/>
    <n v="2052.4"/>
    <x v="3"/>
    <x v="1"/>
    <s v="Lucknow"/>
    <s v="Uttar Pradesh"/>
    <s v="Delhi"/>
    <d v="2024-11-05T00:00:00"/>
    <n v="13"/>
    <s v="Standard"/>
    <s v="Delivered"/>
    <n v="0"/>
    <n v="1"/>
    <s v="Yes"/>
    <n v="1"/>
    <s v="Damaged in Transit"/>
    <d v="2024-12-05T00:00:00"/>
    <s v="Processed"/>
  </r>
  <r>
    <s v="UT-100096"/>
    <d v="2024-10-24T00:00:00"/>
    <x v="0"/>
    <n v="43"/>
    <s v="Thursday"/>
    <x v="3"/>
    <s v="Wednesday"/>
    <s v="CUST_10095"/>
    <x v="0"/>
    <s v="DRS-SHR-S"/>
    <s v="Dresses"/>
    <s v="Shirtdress"/>
    <n v="2399"/>
    <n v="1"/>
    <n v="2399"/>
    <s v=""/>
    <n v="0"/>
    <n v="0"/>
    <n v="2399"/>
    <x v="1"/>
    <x v="0"/>
    <s v="Bangalore"/>
    <s v="Karnataka"/>
    <s v="Bangalore"/>
    <d v="2024-11-04T00:00:00"/>
    <n v="11"/>
    <s v="Standard"/>
    <s v="Delivered"/>
    <n v="0"/>
    <n v="1"/>
    <s v="No"/>
    <n v="0"/>
    <s v=""/>
    <m/>
    <s v="Not Applicable"/>
  </r>
  <r>
    <s v="UT-100097"/>
    <d v="2024-10-24T00:00:00"/>
    <x v="0"/>
    <n v="43"/>
    <s v="Thursday"/>
    <x v="3"/>
    <s v="Wednesday"/>
    <s v="CUST_10096"/>
    <x v="0"/>
    <s v="TOP-GRF-M"/>
    <s v="Tops"/>
    <s v="Graphic Tee"/>
    <n v="1299"/>
    <n v="1"/>
    <n v="1299"/>
    <s v=""/>
    <n v="0"/>
    <n v="0"/>
    <n v="1299"/>
    <x v="2"/>
    <x v="2"/>
    <s v="Mumbai"/>
    <s v="Maharashtra"/>
    <s v="Mumbai"/>
    <d v="2024-11-06T00:00:00"/>
    <n v="13"/>
    <s v="Standard"/>
    <s v="Delivered"/>
    <n v="0"/>
    <n v="1"/>
    <s v="Yes"/>
    <n v="1"/>
    <s v="Changed Mind"/>
    <d v="2024-12-05T00:00:00"/>
    <s v="Processed"/>
  </r>
  <r>
    <s v="UT-100098"/>
    <d v="2024-10-24T00:00:00"/>
    <x v="0"/>
    <n v="43"/>
    <s v="Thursday"/>
    <x v="3"/>
    <s v="Wednesday"/>
    <s v="CUST_10097"/>
    <x v="1"/>
    <s v="OUT-SHW-L"/>
    <s v="Outerwear"/>
    <s v="Shawl Wrap"/>
    <n v="2799"/>
    <n v="1"/>
    <n v="2799"/>
    <s v="DIWALI20"/>
    <n v="20"/>
    <n v="139.94999999999999"/>
    <n v="2659.05"/>
    <x v="0"/>
    <x v="1"/>
    <s v="Delhi"/>
    <s v="Delhi"/>
    <s v="Delhi"/>
    <d v="2024-11-05T00:00:00"/>
    <n v="12"/>
    <s v="Standard"/>
    <s v="Delivered"/>
    <n v="0"/>
    <n v="1"/>
    <s v="No"/>
    <n v="0"/>
    <s v=""/>
    <m/>
    <s v="Not Applicable"/>
  </r>
  <r>
    <s v="UT-100099"/>
    <d v="2024-10-24T00:00:00"/>
    <x v="0"/>
    <n v="43"/>
    <s v="Thursday"/>
    <x v="3"/>
    <s v="Wednesday"/>
    <s v="CUST_10098"/>
    <x v="0"/>
    <s v="ACC-BLT-S"/>
    <s v="Accessories"/>
    <s v="Braided Belt"/>
    <n v="699"/>
    <n v="1"/>
    <n v="699"/>
    <s v=""/>
    <n v="0"/>
    <n v="0"/>
    <n v="699"/>
    <x v="4"/>
    <x v="0"/>
    <s v="Chandigarh"/>
    <s v="Punjab"/>
    <s v="Delhi"/>
    <d v="2024-11-04T00:00:00"/>
    <n v="11"/>
    <s v="Standard"/>
    <s v="Delivered"/>
    <n v="0"/>
    <n v="1"/>
    <s v="No"/>
    <n v="0"/>
    <s v=""/>
    <m/>
    <s v="Not Applicable"/>
  </r>
  <r>
    <s v="UT-100100"/>
    <d v="2024-10-25T00:00:00"/>
    <x v="0"/>
    <n v="43"/>
    <s v="Friday"/>
    <x v="3"/>
    <s v="Thursday"/>
    <s v="CUST_10099"/>
    <x v="0"/>
    <s v="BOT-CUT-M"/>
    <s v="Bottoms"/>
    <s v="Culottes"/>
    <n v="1699"/>
    <n v="1"/>
    <n v="1699"/>
    <s v=""/>
    <n v="0"/>
    <n v="0"/>
    <n v="1699"/>
    <x v="3"/>
    <x v="2"/>
    <s v="Noida"/>
    <s v="Uttar Pradesh"/>
    <s v="Delhi"/>
    <d v="2024-11-07T00:00:00"/>
    <n v="13"/>
    <s v="Standard"/>
    <s v="Delivered"/>
    <n v="0"/>
    <n v="1"/>
    <s v="Yes"/>
    <n v="1"/>
    <s v="Size Issue"/>
    <d v="2024-12-06T00:00:00"/>
    <s v="Processed"/>
  </r>
  <r>
    <s v="UT-100101"/>
    <d v="2024-10-25T00:00:00"/>
    <x v="0"/>
    <n v="43"/>
    <s v="Friday"/>
    <x v="3"/>
    <s v="Thursday"/>
    <s v="CUST_10100"/>
    <x v="0"/>
    <s v="DRS-MXI-L"/>
    <s v="Dresses"/>
    <s v="Maxi Dress"/>
    <n v="2799"/>
    <n v="1"/>
    <n v="2799"/>
    <s v="FLAT10"/>
    <n v="10"/>
    <n v="279.89999999999998"/>
    <n v="2519.1"/>
    <x v="1"/>
    <x v="1"/>
    <s v="Gurgaon"/>
    <s v="Haryana"/>
    <s v="Delhi"/>
    <d v="2024-11-06T00:00:00"/>
    <n v="12"/>
    <s v="Standard"/>
    <s v="Delivered"/>
    <n v="0"/>
    <n v="1"/>
    <s v="No"/>
    <n v="0"/>
    <s v=""/>
    <m/>
    <s v="Not Applicable"/>
  </r>
  <r>
    <s v="UT-100102"/>
    <d v="2024-10-25T00:00:00"/>
    <x v="0"/>
    <n v="43"/>
    <s v="Friday"/>
    <x v="3"/>
    <s v="Thursday"/>
    <s v="CUST_10101"/>
    <x v="1"/>
    <s v="TOP-SLV-S"/>
    <s v="Tops"/>
    <s v="Sleeveless Top"/>
    <n v="1199"/>
    <n v="2"/>
    <n v="2398"/>
    <s v=""/>
    <n v="0"/>
    <n v="0"/>
    <n v="2398"/>
    <x v="0"/>
    <x v="0"/>
    <s v="Indore"/>
    <s v="Madhya Pradesh"/>
    <s v="Mumbai"/>
    <d v="2024-11-05T00:00:00"/>
    <n v="11"/>
    <s v="Standard"/>
    <s v="Delivered"/>
    <n v="0"/>
    <n v="1"/>
    <s v="Yes"/>
    <n v="1"/>
    <s v="Quality Defect"/>
    <d v="2024-12-04T00:00:00"/>
    <s v="Processed"/>
  </r>
  <r>
    <s v="UT-100103"/>
    <d v="2024-10-25T00:00:00"/>
    <x v="0"/>
    <n v="43"/>
    <s v="Friday"/>
    <x v="3"/>
    <s v="Thursday"/>
    <s v="CUST_10102"/>
    <x v="0"/>
    <s v="OUT-CPE-M"/>
    <s v="Outerwear"/>
    <s v="Cape Coat"/>
    <n v="5999"/>
    <n v="1"/>
    <n v="5999"/>
    <s v=""/>
    <n v="0"/>
    <n v="0"/>
    <n v="5999"/>
    <x v="1"/>
    <x v="2"/>
    <s v="Surat"/>
    <s v="Gujarat"/>
    <s v="Mumbai"/>
    <d v="2024-11-08T00:00:00"/>
    <n v="14"/>
    <s v="Standard"/>
    <s v="Delivered"/>
    <n v="0"/>
    <n v="1"/>
    <s v="No"/>
    <n v="0"/>
    <s v=""/>
    <m/>
    <s v="Not Applicable"/>
  </r>
  <r>
    <s v="UT-100104"/>
    <d v="2024-10-26T00:00:00"/>
    <x v="0"/>
    <n v="43"/>
    <s v="Saturday"/>
    <x v="3"/>
    <s v="Friday"/>
    <s v="CUST_10103"/>
    <x v="0"/>
    <s v="ACC-SHD-OS"/>
    <s v="Accessories"/>
    <s v="Shoulder Bag"/>
    <n v="1799"/>
    <n v="1"/>
    <n v="1799"/>
    <s v="DIWALI20"/>
    <n v="20"/>
    <n v="89.95"/>
    <n v="1709.05"/>
    <x v="2"/>
    <x v="1"/>
    <s v="Patna"/>
    <s v="Bihar"/>
    <s v="Delhi"/>
    <m/>
    <n v="-45591"/>
    <s v="Fast"/>
    <s v="RTO"/>
    <n v="1"/>
    <n v="0"/>
    <s v="No"/>
    <n v="0"/>
    <s v=""/>
    <m/>
    <s v="Not Applicable"/>
  </r>
  <r>
    <s v="UT-100105"/>
    <d v="2024-10-26T00:00:00"/>
    <x v="0"/>
    <n v="43"/>
    <s v="Saturday"/>
    <x v="3"/>
    <s v="Friday"/>
    <s v="CUST_10104"/>
    <x v="0"/>
    <s v="BOT-STR-L"/>
    <s v="Bottoms"/>
    <s v="Straight Pants"/>
    <n v="1999"/>
    <n v="1"/>
    <n v="1999"/>
    <s v=""/>
    <n v="0"/>
    <n v="0"/>
    <n v="1999"/>
    <x v="4"/>
    <x v="0"/>
    <s v="Bhopal"/>
    <s v="Madhya Pradesh"/>
    <s v="Mumbai"/>
    <d v="2024-11-07T00:00:00"/>
    <n v="12"/>
    <s v="Standard"/>
    <s v="Delivered"/>
    <n v="0"/>
    <n v="1"/>
    <s v="Yes"/>
    <n v="1"/>
    <s v="Wrong Item"/>
    <d v="2024-12-07T00:00:00"/>
    <s v="Processed"/>
  </r>
  <r>
    <s v="UT-100106"/>
    <d v="2024-10-26T00:00:00"/>
    <x v="0"/>
    <n v="43"/>
    <s v="Saturday"/>
    <x v="3"/>
    <s v="Friday"/>
    <s v="CUST_10105"/>
    <x v="1"/>
    <s v="DRS-FIT-S"/>
    <s v="Dresses"/>
    <s v="Fit &amp; Flare Dress"/>
    <n v="2499"/>
    <n v="1"/>
    <n v="2499"/>
    <s v=""/>
    <n v="0"/>
    <n v="0"/>
    <n v="2499"/>
    <x v="3"/>
    <x v="2"/>
    <s v="Nagpur"/>
    <s v="Maharashtra"/>
    <s v="Mumbai"/>
    <d v="2024-11-08T00:00:00"/>
    <n v="13"/>
    <s v="Standard"/>
    <s v="Delivered"/>
    <n v="0"/>
    <n v="1"/>
    <s v="No"/>
    <n v="0"/>
    <s v=""/>
    <m/>
    <s v="Not Applicable"/>
  </r>
  <r>
    <s v="UT-100107"/>
    <d v="2024-10-26T00:00:00"/>
    <x v="0"/>
    <n v="43"/>
    <s v="Saturday"/>
    <x v="3"/>
    <s v="Friday"/>
    <s v="CUST_10106"/>
    <x v="0"/>
    <s v="TOP-CWL-M"/>
    <s v="Tops"/>
    <s v="Cowl Neck Top"/>
    <n v="1599"/>
    <n v="1"/>
    <n v="1599"/>
    <s v="FIRST15"/>
    <n v="15"/>
    <n v="106.6"/>
    <n v="1492.4"/>
    <x v="0"/>
    <x v="1"/>
    <s v="Coimbatore"/>
    <s v="Tamil Nadu"/>
    <s v="Bangalore"/>
    <d v="2024-11-06T00:00:00"/>
    <n v="11"/>
    <s v="Standard"/>
    <s v="Delivered"/>
    <n v="0"/>
    <n v="1"/>
    <s v="Yes"/>
    <n v="1"/>
    <s v="Size Issue"/>
    <d v="2024-12-05T00:00:00"/>
    <s v="Processed"/>
  </r>
  <r>
    <s v="UT-100108"/>
    <d v="2024-10-27T00:00:00"/>
    <x v="0"/>
    <n v="43"/>
    <s v="Sunday"/>
    <x v="3"/>
    <s v="Saturday"/>
    <s v="CUST_10107"/>
    <x v="0"/>
    <s v="OUT-BLR-L"/>
    <s v="Outerwear"/>
    <s v="Blazer"/>
    <n v="3999"/>
    <n v="1"/>
    <n v="3999"/>
    <s v=""/>
    <n v="0"/>
    <n v="0"/>
    <n v="3999"/>
    <x v="1"/>
    <x v="0"/>
    <s v="Kochi"/>
    <s v="Kerala"/>
    <s v="Bangalore"/>
    <d v="2024-11-09T00:00:00"/>
    <n v="13"/>
    <s v="Standard"/>
    <s v="Delivered"/>
    <n v="0"/>
    <n v="1"/>
    <s v="No"/>
    <n v="0"/>
    <s v=""/>
    <m/>
    <s v="Not Applicable"/>
  </r>
  <r>
    <s v="UT-100109"/>
    <d v="2024-10-27T00:00:00"/>
    <x v="0"/>
    <n v="43"/>
    <s v="Sunday"/>
    <x v="3"/>
    <s v="Saturday"/>
    <s v="CUST_10108"/>
    <x v="0"/>
    <s v="ACC-CFF-OS"/>
    <s v="Accessories"/>
    <s v="Cuff Bracelet"/>
    <n v="599"/>
    <n v="2"/>
    <n v="1198"/>
    <s v=""/>
    <n v="0"/>
    <n v="0"/>
    <n v="1198"/>
    <x v="2"/>
    <x v="2"/>
    <s v="Vizag"/>
    <s v="Andhra Pradesh"/>
    <s v="Bangalore"/>
    <d v="2024-11-07T00:00:00"/>
    <n v="11"/>
    <s v="Standard"/>
    <s v="Delivered"/>
    <n v="0"/>
    <n v="1"/>
    <s v="Yes"/>
    <n v="1"/>
    <s v="Damaged in Transit"/>
    <d v="2024-12-06T00:00:00"/>
    <s v="Processed"/>
  </r>
  <r>
    <s v="UT-100110"/>
    <d v="2024-10-27T00:00:00"/>
    <x v="0"/>
    <n v="43"/>
    <s v="Sunday"/>
    <x v="3"/>
    <s v="Saturday"/>
    <s v="CUST_10109"/>
    <x v="1"/>
    <s v="BOT-HRM-M"/>
    <s v="Bottoms"/>
    <s v="Harem Pants"/>
    <n v="1799"/>
    <n v="1"/>
    <n v="1799"/>
    <s v="DIWALI20"/>
    <n v="20"/>
    <n v="89.95"/>
    <n v="1709.05"/>
    <x v="0"/>
    <x v="1"/>
    <s v="Thiruvananthapuram"/>
    <s v="Kerala"/>
    <s v="Bangalore"/>
    <d v="2024-11-08T00:00:00"/>
    <n v="12"/>
    <s v="Standard"/>
    <s v="Delivered"/>
    <n v="0"/>
    <n v="1"/>
    <s v="No"/>
    <n v="0"/>
    <s v=""/>
    <m/>
    <s v="Not Applicable"/>
  </r>
  <r>
    <s v="UT-100111"/>
    <d v="2024-10-28T00:00:00"/>
    <x v="0"/>
    <n v="44"/>
    <s v="Monday"/>
    <x v="4"/>
    <s v="Sunday"/>
    <s v="CUST_10110"/>
    <x v="0"/>
    <s v="DRS-FES-M"/>
    <s v="Dresses"/>
    <s v="Festive Kurta Set"/>
    <n v="3499"/>
    <n v="1"/>
    <n v="3499"/>
    <s v="DIWALI40"/>
    <n v="40"/>
    <n v="87.474999999999994"/>
    <n v="3411.5250000000001"/>
    <x v="1"/>
    <x v="0"/>
    <s v="Delhi"/>
    <s v="Delhi"/>
    <s v="Delhi"/>
    <d v="2024-11-02T00:00:00"/>
    <n v="5"/>
    <s v="Fast"/>
    <s v="Delivered"/>
    <n v="0"/>
    <n v="1"/>
    <s v="Yes"/>
    <n v="1"/>
    <s v="Size Issue"/>
    <d v="2024-11-18T00:00:00"/>
    <s v="Processed"/>
  </r>
  <r>
    <s v="UT-100112"/>
    <d v="2024-10-28T00:00:00"/>
    <x v="0"/>
    <n v="44"/>
    <s v="Monday"/>
    <x v="4"/>
    <s v="Sunday"/>
    <s v="CUST_10111"/>
    <x v="0"/>
    <s v="OUT-ETH-L"/>
    <s v="Outerwear"/>
    <s v="Embroidered Jacket"/>
    <n v="5999"/>
    <n v="1"/>
    <n v="5999"/>
    <s v="DIWALI40"/>
    <n v="40"/>
    <n v="149.97499999999999"/>
    <n v="5849.0249999999996"/>
    <x v="2"/>
    <x v="1"/>
    <s v="Mumbai"/>
    <s v="Maharashtra"/>
    <s v="Mumbai"/>
    <d v="2024-11-03T00:00:00"/>
    <n v="6"/>
    <s v="Fast"/>
    <s v="Delivered"/>
    <n v="0"/>
    <n v="1"/>
    <s v="Yes"/>
    <n v="1"/>
    <s v="Wrong Item"/>
    <d v="2024-11-20T00:00:00"/>
    <s v="Processed"/>
  </r>
  <r>
    <s v="UT-100113"/>
    <d v="2024-10-28T00:00:00"/>
    <x v="0"/>
    <n v="44"/>
    <s v="Monday"/>
    <x v="4"/>
    <s v="Sunday"/>
    <s v="CUST_10112"/>
    <x v="0"/>
    <s v="TOP-FES-S"/>
    <s v="Tops"/>
    <s v="Festive Blouse"/>
    <n v="2299"/>
    <n v="2"/>
    <n v="4598"/>
    <s v="DIWALI40"/>
    <n v="40"/>
    <n v="114.95"/>
    <n v="4483.05"/>
    <x v="0"/>
    <x v="2"/>
    <s v="Jaipur"/>
    <s v="Rajasthan"/>
    <s v="Delhi"/>
    <d v="2024-11-04T00:00:00"/>
    <n v="7"/>
    <s v="Fast"/>
    <s v="Delivered"/>
    <n v="0"/>
    <n v="1"/>
    <s v="Yes"/>
    <n v="1"/>
    <s v="Size Issue"/>
    <d v="2024-11-22T00:00:00"/>
    <s v="Processed"/>
  </r>
  <r>
    <s v="UT-100114"/>
    <d v="2024-10-28T00:00:00"/>
    <x v="0"/>
    <n v="44"/>
    <s v="Monday"/>
    <x v="4"/>
    <s v="Sunday"/>
    <s v="CUST_10113"/>
    <x v="1"/>
    <s v="ACC-CLT-OS"/>
    <s v="Accessories"/>
    <s v="Festive Clutch"/>
    <n v="1599"/>
    <n v="1"/>
    <n v="1599"/>
    <s v="DIWALI40"/>
    <n v="40"/>
    <n v="39.975000000000001"/>
    <n v="1559.0250000000001"/>
    <x v="1"/>
    <x v="0"/>
    <s v="Lucknow"/>
    <s v="Uttar Pradesh"/>
    <s v="Delhi"/>
    <d v="2024-11-03T00:00:00"/>
    <n v="6"/>
    <s v="Fast"/>
    <s v="Delivered"/>
    <n v="0"/>
    <n v="1"/>
    <s v="No"/>
    <n v="0"/>
    <s v=""/>
    <m/>
    <s v="Not Applicable"/>
  </r>
  <r>
    <s v="UT-100115"/>
    <d v="2024-10-28T00:00:00"/>
    <x v="0"/>
    <n v="44"/>
    <s v="Monday"/>
    <x v="4"/>
    <s v="Sunday"/>
    <s v="CUST_10114"/>
    <x v="0"/>
    <s v="BOT-ETH-M"/>
    <s v="Bottoms"/>
    <s v="Palazzo Pants"/>
    <n v="1899"/>
    <n v="1"/>
    <n v="1899"/>
    <s v="DIWALI40"/>
    <n v="40"/>
    <n v="47.475000000000001"/>
    <n v="1851.5250000000001"/>
    <x v="2"/>
    <x v="1"/>
    <s v="Chennai"/>
    <s v="Tamil Nadu"/>
    <s v="Bangalore"/>
    <m/>
    <n v="-45593"/>
    <s v="Fast"/>
    <s v="RTO"/>
    <n v="1"/>
    <n v="0"/>
    <s v="No"/>
    <n v="0"/>
    <s v=""/>
    <m/>
    <s v="Not Applicable"/>
  </r>
  <r>
    <s v="UT-100116"/>
    <d v="2024-10-29T00:00:00"/>
    <x v="0"/>
    <n v="44"/>
    <s v="Tuesday"/>
    <x v="4"/>
    <s v="Monday"/>
    <s v="CUST_10115"/>
    <x v="0"/>
    <s v="DRS-ANK-S"/>
    <s v="Dresses"/>
    <s v="Anarkali Dress"/>
    <n v="4299"/>
    <n v="1"/>
    <n v="4299"/>
    <s v="DIWALI40"/>
    <n v="40"/>
    <n v="107.47499999999999"/>
    <n v="4191.5249999999996"/>
    <x v="3"/>
    <x v="0"/>
    <s v="Hyderabad"/>
    <s v="Telangana"/>
    <s v="Bangalore"/>
    <d v="2024-11-05T00:00:00"/>
    <n v="7"/>
    <s v="Fast"/>
    <s v="Delivered"/>
    <n v="0"/>
    <n v="1"/>
    <s v="Yes"/>
    <n v="1"/>
    <s v="Quality Defect"/>
    <d v="2024-11-25T00:00:00"/>
    <s v="Processed"/>
  </r>
  <r>
    <s v="UT-100117"/>
    <d v="2024-10-29T00:00:00"/>
    <x v="0"/>
    <n v="44"/>
    <s v="Tuesday"/>
    <x v="4"/>
    <s v="Monday"/>
    <s v="CUST_10116"/>
    <x v="0"/>
    <s v="TOP-ETH-M"/>
    <s v="Tops"/>
    <s v="Embroidered Kurti"/>
    <n v="2599"/>
    <n v="1"/>
    <n v="2599"/>
    <s v="DIWALI40"/>
    <n v="40"/>
    <n v="64.974999999999994"/>
    <n v="2534.0250000000001"/>
    <x v="0"/>
    <x v="2"/>
    <s v="Pune"/>
    <s v="Maharashtra"/>
    <s v="Mumbai"/>
    <d v="2024-11-06T00:00:00"/>
    <n v="8"/>
    <s v="Standard"/>
    <s v="Delivered"/>
    <n v="0"/>
    <n v="1"/>
    <s v="Yes"/>
    <n v="1"/>
    <s v="Changed Mind"/>
    <d v="2024-11-28T00:00:00"/>
    <s v="Pending"/>
  </r>
  <r>
    <s v="UT-100118"/>
    <d v="2024-10-29T00:00:00"/>
    <x v="0"/>
    <n v="44"/>
    <s v="Tuesday"/>
    <x v="4"/>
    <s v="Monday"/>
    <s v="CUST_10117"/>
    <x v="0"/>
    <s v="OUT-SHW-L"/>
    <s v="Outerwear"/>
    <s v="Pashmina Shawl"/>
    <n v="3999"/>
    <n v="1"/>
    <n v="3999"/>
    <s v="DIWALI40"/>
    <n v="40"/>
    <n v="99.974999999999994"/>
    <n v="3899.0250000000001"/>
    <x v="1"/>
    <x v="1"/>
    <s v="Amritsar"/>
    <s v="Punjab"/>
    <s v="Delhi"/>
    <d v="2024-11-07T00:00:00"/>
    <n v="9"/>
    <s v="Standard"/>
    <s v="Delivered"/>
    <n v="0"/>
    <n v="1"/>
    <s v="Yes"/>
    <n v="1"/>
    <s v="Size Issue"/>
    <d v="2024-12-01T00:00:00"/>
    <s v="Processed"/>
  </r>
  <r>
    <s v="UT-100119"/>
    <d v="2024-10-29T00:00:00"/>
    <x v="0"/>
    <n v="44"/>
    <s v="Tuesday"/>
    <x v="4"/>
    <s v="Monday"/>
    <s v="CUST_10118"/>
    <x v="1"/>
    <s v="DRS-LHG-M"/>
    <s v="Dresses"/>
    <s v="Lehenga Set"/>
    <n v="8999"/>
    <n v="1"/>
    <n v="8999"/>
    <s v="DIWALI40"/>
    <n v="40"/>
    <n v="224.97499999999999"/>
    <n v="8774.0249999999996"/>
    <x v="1"/>
    <x v="0"/>
    <s v="Ahmedabad"/>
    <s v="Gujarat"/>
    <s v="Mumbai"/>
    <d v="2024-11-06T00:00:00"/>
    <n v="8"/>
    <s v="Standard"/>
    <s v="Delivered"/>
    <n v="0"/>
    <n v="1"/>
    <s v="Yes"/>
    <n v="1"/>
    <s v="Size Issue"/>
    <d v="2024-12-02T00:00:00"/>
    <s v="Processed"/>
  </r>
  <r>
    <s v="UT-100120"/>
    <d v="2024-10-29T00:00:00"/>
    <x v="0"/>
    <n v="44"/>
    <s v="Tuesday"/>
    <x v="4"/>
    <s v="Monday"/>
    <s v="CUST_10119"/>
    <x v="0"/>
    <s v="ACC-STL-OS"/>
    <s v="Accessories"/>
    <s v="Statement Necklace"/>
    <n v="1299"/>
    <n v="2"/>
    <n v="2598"/>
    <s v="DIWALI40"/>
    <n v="40"/>
    <n v="64.95"/>
    <n v="2533.0500000000002"/>
    <x v="2"/>
    <x v="2"/>
    <s v="Kolkata"/>
    <s v="West Bengal"/>
    <s v="Delhi"/>
    <d v="2024-11-08T00:00:00"/>
    <n v="10"/>
    <s v="Standard"/>
    <s v="Delivered"/>
    <n v="0"/>
    <n v="1"/>
    <s v="Yes"/>
    <n v="1"/>
    <s v="Damaged in Transit"/>
    <d v="2024-11-30T00:00:00"/>
    <s v="Processed"/>
  </r>
  <r>
    <s v="UT-100121"/>
    <d v="2024-10-29T00:00:00"/>
    <x v="0"/>
    <n v="44"/>
    <s v="Tuesday"/>
    <x v="4"/>
    <s v="Monday"/>
    <s v="CUST_10120"/>
    <x v="0"/>
    <s v="TOP-SQN-S"/>
    <s v="Tops"/>
    <s v="Sequin Top"/>
    <n v="1999"/>
    <n v="1"/>
    <n v="1999"/>
    <s v="DIWALI40"/>
    <n v="40"/>
    <n v="49.975000000000001"/>
    <n v="1949.0250000000001"/>
    <x v="0"/>
    <x v="1"/>
    <s v="Bangalore"/>
    <s v="Karnataka"/>
    <s v="Bangalore"/>
    <d v="2024-11-07T00:00:00"/>
    <n v="9"/>
    <s v="Standard"/>
    <s v="Delivered"/>
    <n v="0"/>
    <n v="1"/>
    <s v="Yes"/>
    <n v="1"/>
    <s v="Quality Defect"/>
    <d v="2024-12-03T00:00:00"/>
    <s v="Processed"/>
  </r>
  <r>
    <s v="UT-100122"/>
    <d v="2024-10-30T00:00:00"/>
    <x v="0"/>
    <n v="44"/>
    <s v="Wednesday"/>
    <x v="4"/>
    <s v="Tuesday"/>
    <s v="CUST_10121"/>
    <x v="0"/>
    <s v="BOT-LHG-S"/>
    <s v="Bottoms"/>
    <s v="Lehenga Skirt"/>
    <n v="5499"/>
    <n v="1"/>
    <n v="5499"/>
    <s v="DIWALI40"/>
    <n v="40"/>
    <n v="137.47499999999999"/>
    <n v="5361.5249999999996"/>
    <x v="4"/>
    <x v="0"/>
    <s v="Surat"/>
    <s v="Gujarat"/>
    <s v="Mumbai"/>
    <d v="2024-11-08T00:00:00"/>
    <n v="9"/>
    <s v="Standard"/>
    <s v="Delivered"/>
    <n v="0"/>
    <n v="1"/>
    <s v="Yes"/>
    <n v="1"/>
    <s v="Size Issue"/>
    <d v="2024-12-01T00:00:00"/>
    <s v="Processed"/>
  </r>
  <r>
    <s v="UT-100123"/>
    <d v="2024-10-30T00:00:00"/>
    <x v="0"/>
    <n v="44"/>
    <s v="Wednesday"/>
    <x v="4"/>
    <s v="Tuesday"/>
    <s v="CUST_10122"/>
    <x v="0"/>
    <s v="DRS-SAR-M"/>
    <s v="Dresses"/>
    <s v="Saree Gown"/>
    <n v="6999"/>
    <n v="1"/>
    <n v="6999"/>
    <s v="DIWALI40"/>
    <n v="40"/>
    <n v="174.97499999999999"/>
    <n v="6824.0249999999996"/>
    <x v="1"/>
    <x v="2"/>
    <s v="Mumbai"/>
    <s v="Maharashtra"/>
    <s v="Mumbai"/>
    <d v="2024-11-09T00:00:00"/>
    <n v="10"/>
    <s v="Standard"/>
    <s v="Delivered"/>
    <n v="0"/>
    <n v="1"/>
    <s v="Yes"/>
    <n v="1"/>
    <s v="Size Issue"/>
    <d v="2024-12-03T00:00:00"/>
    <s v="Processed"/>
  </r>
  <r>
    <s v="UT-100124"/>
    <d v="2024-10-30T00:00:00"/>
    <x v="0"/>
    <n v="44"/>
    <s v="Wednesday"/>
    <x v="4"/>
    <s v="Tuesday"/>
    <s v="CUST_10123"/>
    <x v="1"/>
    <s v="OUT-BLS-M"/>
    <s v="Outerwear"/>
    <s v="Brocade Blazer"/>
    <n v="4999"/>
    <n v="1"/>
    <n v="4999"/>
    <s v="DIWALI40"/>
    <n v="40"/>
    <n v="124.97499999999999"/>
    <n v="4874.0249999999996"/>
    <x v="3"/>
    <x v="1"/>
    <s v="Delhi"/>
    <s v="Delhi"/>
    <s v="Delhi"/>
    <d v="2024-11-10T00:00:00"/>
    <n v="11"/>
    <s v="Standard"/>
    <s v="Delivered"/>
    <n v="0"/>
    <n v="1"/>
    <s v="No"/>
    <n v="0"/>
    <s v=""/>
    <m/>
    <s v="Not Applicable"/>
  </r>
  <r>
    <s v="UT-100125"/>
    <d v="2024-10-30T00:00:00"/>
    <x v="0"/>
    <n v="44"/>
    <s v="Wednesday"/>
    <x v="4"/>
    <s v="Tuesday"/>
    <s v="CUST_10124"/>
    <x v="0"/>
    <s v="ACC-MNG-OS"/>
    <s v="Accessories"/>
    <s v="Maang Tikka Set"/>
    <n v="899"/>
    <n v="1"/>
    <n v="899"/>
    <s v="DIWALI40"/>
    <n v="40"/>
    <n v="22.475000000000001"/>
    <n v="876.52499999999998"/>
    <x v="0"/>
    <x v="0"/>
    <s v="Varanasi"/>
    <s v="Uttar Pradesh"/>
    <s v="Delhi"/>
    <d v="2024-11-10T00:00:00"/>
    <n v="11"/>
    <s v="Standard"/>
    <s v="Delivered"/>
    <n v="0"/>
    <n v="1"/>
    <s v="No"/>
    <n v="0"/>
    <s v=""/>
    <m/>
    <s v="Not Applicable"/>
  </r>
  <r>
    <s v="UT-100126"/>
    <d v="2024-10-30T00:00:00"/>
    <x v="0"/>
    <n v="44"/>
    <s v="Wednesday"/>
    <x v="4"/>
    <s v="Tuesday"/>
    <s v="CUST_10125"/>
    <x v="0"/>
    <s v="TOP-ZAR-L"/>
    <s v="Tops"/>
    <s v="Zardozi Blouse"/>
    <n v="3299"/>
    <n v="1"/>
    <n v="3299"/>
    <s v="DIWALI40"/>
    <n v="40"/>
    <n v="82.474999999999994"/>
    <n v="3216.5250000000001"/>
    <x v="2"/>
    <x v="2"/>
    <s v="Jaipur"/>
    <s v="Rajasthan"/>
    <s v="Delhi"/>
    <d v="2024-11-12T00:00:00"/>
    <n v="13"/>
    <s v="Standard"/>
    <s v="Delivered"/>
    <n v="0"/>
    <n v="1"/>
    <s v="Yes"/>
    <n v="1"/>
    <s v="Wrong Item"/>
    <d v="2024-12-05T00:00:00"/>
    <s v="Pending"/>
  </r>
  <r>
    <s v="UT-100127"/>
    <d v="2024-10-31T00:00:00"/>
    <x v="0"/>
    <n v="44"/>
    <s v="Thursday"/>
    <x v="4"/>
    <s v="Wednesday"/>
    <s v="CUST_10126"/>
    <x v="0"/>
    <s v="DRS-FES-L"/>
    <s v="Dresses"/>
    <s v="Festive Gown"/>
    <n v="7499"/>
    <n v="1"/>
    <n v="7499"/>
    <s v="DIWALI40"/>
    <n v="40"/>
    <n v="187.47499999999999"/>
    <n v="7311.5249999999996"/>
    <x v="1"/>
    <x v="0"/>
    <s v="Lucknow"/>
    <s v="Uttar Pradesh"/>
    <s v="Delhi"/>
    <d v="2024-11-11T00:00:00"/>
    <n v="11"/>
    <s v="Standard"/>
    <s v="Delivered"/>
    <n v="0"/>
    <n v="1"/>
    <s v="Yes"/>
    <n v="1"/>
    <s v="Size Issue"/>
    <d v="2024-12-04T00:00:00"/>
    <s v="Processed"/>
  </r>
  <r>
    <s v="UT-100128"/>
    <d v="2024-10-31T00:00:00"/>
    <x v="0"/>
    <n v="44"/>
    <s v="Thursday"/>
    <x v="4"/>
    <s v="Wednesday"/>
    <s v="CUST_10127"/>
    <x v="0"/>
    <s v="BOT-SLK-M"/>
    <s v="Bottoms"/>
    <s v="Silk Pants"/>
    <n v="3299"/>
    <n v="1"/>
    <n v="3299"/>
    <s v="DIWALI40"/>
    <n v="40"/>
    <n v="82.474999999999994"/>
    <n v="3216.5250000000001"/>
    <x v="0"/>
    <x v="1"/>
    <s v="Chandigarh"/>
    <s v="Punjab"/>
    <s v="Delhi"/>
    <d v="2024-11-12T00:00:00"/>
    <n v="12"/>
    <s v="Standard"/>
    <s v="Delivered"/>
    <n v="0"/>
    <n v="1"/>
    <s v="Yes"/>
    <n v="1"/>
    <s v="Changed Mind"/>
    <d v="2024-12-06T00:00:00"/>
    <s v="Processed"/>
  </r>
  <r>
    <s v="UT-100129"/>
    <d v="2024-10-31T00:00:00"/>
    <x v="0"/>
    <n v="44"/>
    <s v="Thursday"/>
    <x v="4"/>
    <s v="Wednesday"/>
    <s v="CUST_10128"/>
    <x v="1"/>
    <s v="OUT-VLV-L"/>
    <s v="Outerwear"/>
    <s v="Velvet Jacket"/>
    <n v="5499"/>
    <n v="1"/>
    <n v="5499"/>
    <s v="DIWALI40"/>
    <n v="40"/>
    <n v="137.47499999999999"/>
    <n v="5361.5249999999996"/>
    <x v="3"/>
    <x v="2"/>
    <s v="Noida"/>
    <s v="Uttar Pradesh"/>
    <s v="Delhi"/>
    <d v="2024-11-13T00:00:00"/>
    <n v="13"/>
    <s v="Standard"/>
    <s v="Delivered"/>
    <n v="0"/>
    <n v="1"/>
    <s v="Yes"/>
    <n v="1"/>
    <s v="Quality Defect"/>
    <d v="2024-12-08T00:00:00"/>
    <s v="Processed"/>
  </r>
  <r>
    <s v="UT-100130"/>
    <d v="2024-10-31T00:00:00"/>
    <x v="0"/>
    <n v="44"/>
    <s v="Thursday"/>
    <x v="4"/>
    <s v="Wednesday"/>
    <s v="CUST_10129"/>
    <x v="0"/>
    <s v="ACC-TKA-OS"/>
    <s v="Accessories"/>
    <s v="Tikka Headpiece"/>
    <n v="1199"/>
    <n v="1"/>
    <n v="1199"/>
    <s v="DIWALI40"/>
    <n v="40"/>
    <n v="29.975000000000001"/>
    <n v="1169.0250000000001"/>
    <x v="2"/>
    <x v="0"/>
    <s v="Gurgaon"/>
    <s v="Haryana"/>
    <s v="Delhi"/>
    <m/>
    <n v="-45596"/>
    <s v="Fast"/>
    <s v="RTO"/>
    <n v="1"/>
    <n v="0"/>
    <s v="No"/>
    <n v="0"/>
    <s v=""/>
    <m/>
    <s v="Not Applicable"/>
  </r>
  <r>
    <s v="UT-100131"/>
    <d v="2024-10-31T00:00:00"/>
    <x v="0"/>
    <n v="44"/>
    <s v="Thursday"/>
    <x v="4"/>
    <s v="Wednesday"/>
    <s v="CUST_10130"/>
    <x v="0"/>
    <s v="TOP-GOT-S"/>
    <s v="Tops"/>
    <s v="Gota Patti Top"/>
    <n v="2799"/>
    <n v="1"/>
    <n v="2799"/>
    <s v="DIWALI40"/>
    <n v="40"/>
    <n v="69.974999999999994"/>
    <n v="2729.0250000000001"/>
    <x v="4"/>
    <x v="1"/>
    <s v="Indore"/>
    <s v="Madhya Pradesh"/>
    <s v="Mumbai"/>
    <d v="2024-11-12T00:00:00"/>
    <n v="12"/>
    <s v="Standard"/>
    <s v="Delivered"/>
    <n v="0"/>
    <n v="1"/>
    <s v="Yes"/>
    <n v="1"/>
    <s v="Size Issue"/>
    <d v="2024-12-07T00:00:00"/>
    <s v="Processed"/>
  </r>
  <r>
    <s v="UT-100132"/>
    <d v="2024-11-01T00:00:00"/>
    <x v="1"/>
    <n v="44"/>
    <s v="Friday"/>
    <x v="4"/>
    <s v="Thursday"/>
    <s v="CUST_10131"/>
    <x v="0"/>
    <s v="DRS-BND-M"/>
    <s v="Dresses"/>
    <s v="Bandhani Dress"/>
    <n v="3899"/>
    <n v="1"/>
    <n v="3899"/>
    <s v="DIWALI40"/>
    <n v="40"/>
    <n v="97.474999999999994"/>
    <n v="3801.5250000000001"/>
    <x v="1"/>
    <x v="2"/>
    <s v="Surat"/>
    <s v="Gujarat"/>
    <s v="Mumbai"/>
    <d v="2024-11-10T00:00:00"/>
    <n v="9"/>
    <s v="Standard"/>
    <s v="Delivered"/>
    <n v="0"/>
    <n v="1"/>
    <s v="Yes"/>
    <n v="1"/>
    <s v="Wrong Item"/>
    <d v="2024-12-05T00:00:00"/>
    <s v="Processed"/>
  </r>
  <r>
    <s v="UT-100133"/>
    <d v="2024-11-01T00:00:00"/>
    <x v="1"/>
    <n v="44"/>
    <s v="Friday"/>
    <x v="4"/>
    <s v="Thursday"/>
    <s v="CUST_10132"/>
    <x v="0"/>
    <s v="BOT-BRC-L"/>
    <s v="Bottoms"/>
    <s v="Brocade Pants"/>
    <n v="2999"/>
    <n v="1"/>
    <n v="2999"/>
    <s v="DIWALI40"/>
    <n v="40"/>
    <n v="74.974999999999994"/>
    <n v="2924.0250000000001"/>
    <x v="0"/>
    <x v="0"/>
    <s v="Patna"/>
    <s v="Bihar"/>
    <s v="Delhi"/>
    <d v="2024-11-11T00:00:00"/>
    <n v="10"/>
    <s v="Standard"/>
    <s v="Delivered"/>
    <n v="0"/>
    <n v="1"/>
    <s v="No"/>
    <n v="0"/>
    <s v=""/>
    <m/>
    <s v="Not Applicable"/>
  </r>
  <r>
    <s v="UT-100134"/>
    <d v="2024-11-01T00:00:00"/>
    <x v="1"/>
    <n v="44"/>
    <s v="Friday"/>
    <x v="4"/>
    <s v="Thursday"/>
    <s v="CUST_10133"/>
    <x v="1"/>
    <s v="OUT-ZRI-M"/>
    <s v="Outerwear"/>
    <s v="Zari Work Jacket"/>
    <n v="6499"/>
    <n v="1"/>
    <n v="6499"/>
    <s v="DIWALI40"/>
    <n v="40"/>
    <n v="162.47499999999999"/>
    <n v="6336.5249999999996"/>
    <x v="1"/>
    <x v="1"/>
    <s v="Bhopal"/>
    <s v="Madhya Pradesh"/>
    <s v="Mumbai"/>
    <d v="2024-11-13T00:00:00"/>
    <n v="12"/>
    <s v="Standard"/>
    <s v="Delivered"/>
    <n v="0"/>
    <n v="1"/>
    <s v="Yes"/>
    <n v="1"/>
    <s v="Size Issue"/>
    <d v="2024-12-10T00:00:00"/>
    <s v="Processed"/>
  </r>
  <r>
    <s v="UT-100135"/>
    <d v="2024-11-01T00:00:00"/>
    <x v="1"/>
    <n v="44"/>
    <s v="Friday"/>
    <x v="4"/>
    <s v="Thursday"/>
    <s v="CUST_10134"/>
    <x v="0"/>
    <s v="ACC-JHM-OS"/>
    <s v="Accessories"/>
    <s v="Jhumka Earrings"/>
    <n v="999"/>
    <n v="2"/>
    <n v="1998"/>
    <s v="DIWALI40"/>
    <n v="40"/>
    <n v="49.95"/>
    <n v="1948.05"/>
    <x v="3"/>
    <x v="2"/>
    <s v="Nagpur"/>
    <s v="Maharashtra"/>
    <s v="Mumbai"/>
    <d v="2024-11-11T00:00:00"/>
    <n v="10"/>
    <s v="Standard"/>
    <s v="Delivered"/>
    <n v="0"/>
    <n v="1"/>
    <s v="No"/>
    <n v="0"/>
    <s v=""/>
    <m/>
    <s v="Not Applicable"/>
  </r>
  <r>
    <s v="UT-100136"/>
    <d v="2024-11-02T00:00:00"/>
    <x v="1"/>
    <n v="44"/>
    <s v="Saturday"/>
    <x v="4"/>
    <s v="Friday"/>
    <s v="CUST_10135"/>
    <x v="0"/>
    <s v="TOP-MRR-S"/>
    <s v="Tops"/>
    <s v="Mirror Work Top"/>
    <n v="2499"/>
    <n v="1"/>
    <n v="2499"/>
    <s v="DIWALI40"/>
    <n v="40"/>
    <n v="62.475000000000001"/>
    <n v="2436.5250000000001"/>
    <x v="2"/>
    <x v="0"/>
    <s v="Coimbatore"/>
    <s v="Tamil Nadu"/>
    <s v="Bangalore"/>
    <d v="2024-11-12T00:00:00"/>
    <n v="10"/>
    <s v="Standard"/>
    <s v="Delivered"/>
    <n v="0"/>
    <n v="1"/>
    <s v="Yes"/>
    <n v="1"/>
    <s v="Quality Defect"/>
    <d v="2024-12-08T00:00:00"/>
    <s v="Processed"/>
  </r>
  <r>
    <s v="UT-100137"/>
    <d v="2024-11-02T00:00:00"/>
    <x v="1"/>
    <n v="44"/>
    <s v="Saturday"/>
    <x v="4"/>
    <s v="Friday"/>
    <s v="CUST_10136"/>
    <x v="0"/>
    <s v="DRS-PTL-M"/>
    <s v="Dresses"/>
    <s v="Patiala Suit"/>
    <n v="4599"/>
    <n v="1"/>
    <n v="4599"/>
    <s v="DIWALI40"/>
    <n v="40"/>
    <n v="114.97499999999999"/>
    <n v="4484.0249999999996"/>
    <x v="0"/>
    <x v="1"/>
    <s v="Kochi"/>
    <s v="Kerala"/>
    <s v="Bangalore"/>
    <d v="2024-11-14T00:00:00"/>
    <n v="12"/>
    <s v="Standard"/>
    <s v="Delivered"/>
    <n v="0"/>
    <n v="1"/>
    <s v="Yes"/>
    <n v="1"/>
    <s v="Size Issue"/>
    <d v="2024-12-12T00:00:00"/>
    <s v="Processed"/>
  </r>
  <r>
    <s v="UT-100138"/>
    <d v="2024-11-02T00:00:00"/>
    <x v="1"/>
    <n v="44"/>
    <s v="Saturday"/>
    <x v="4"/>
    <s v="Friday"/>
    <s v="CUST_10137"/>
    <x v="0"/>
    <s v="BOT-DHT-L"/>
    <s v="Bottoms"/>
    <s v="Dhoti Pants"/>
    <n v="1799"/>
    <n v="1"/>
    <n v="1799"/>
    <s v="DIWALI40"/>
    <n v="40"/>
    <n v="44.975000000000001"/>
    <n v="1754.0250000000001"/>
    <x v="1"/>
    <x v="2"/>
    <s v="Vizag"/>
    <s v="Andhra Pradesh"/>
    <s v="Bangalore"/>
    <d v="2024-11-13T00:00:00"/>
    <n v="11"/>
    <s v="Standard"/>
    <s v="Delivered"/>
    <n v="0"/>
    <n v="1"/>
    <s v="No"/>
    <n v="0"/>
    <s v=""/>
    <m/>
    <s v="Not Applicable"/>
  </r>
  <r>
    <s v="UT-100139"/>
    <d v="2024-11-02T00:00:00"/>
    <x v="1"/>
    <n v="44"/>
    <s v="Saturday"/>
    <x v="4"/>
    <s v="Friday"/>
    <s v="CUST_10138"/>
    <x v="1"/>
    <s v="OUT-KTN-M"/>
    <s v="Outerwear"/>
    <s v="Katan Silk Jacket"/>
    <n v="7999"/>
    <n v="1"/>
    <n v="7999"/>
    <s v="DIWALI40"/>
    <n v="40"/>
    <n v="199.97499999999999"/>
    <n v="7799.0249999999996"/>
    <x v="4"/>
    <x v="0"/>
    <s v="Thiruvananthapuram"/>
    <s v="Kerala"/>
    <s v="Bangalore"/>
    <d v="2024-11-15T00:00:00"/>
    <n v="13"/>
    <s v="Standard"/>
    <s v="Delivered"/>
    <n v="0"/>
    <n v="1"/>
    <s v="Yes"/>
    <n v="1"/>
    <s v="Changed Mind"/>
    <d v="2024-12-14T00:00:00"/>
    <s v="Processed"/>
  </r>
  <r>
    <s v="UT-100140"/>
    <d v="2024-11-03T00:00:00"/>
    <x v="1"/>
    <n v="44"/>
    <s v="Sunday"/>
    <x v="4"/>
    <s v="Saturday"/>
    <s v="CUST_10139"/>
    <x v="0"/>
    <s v="ACC-KDN-OS"/>
    <s v="Accessories"/>
    <s v="Kundan Set"/>
    <n v="2499"/>
    <n v="1"/>
    <n v="2499"/>
    <s v="DIWALI40"/>
    <n v="40"/>
    <n v="62.475000000000001"/>
    <n v="2436.5250000000001"/>
    <x v="3"/>
    <x v="1"/>
    <s v="Mysore"/>
    <s v="Karnataka"/>
    <s v="Bangalore"/>
    <d v="2024-11-14T00:00:00"/>
    <n v="11"/>
    <s v="Standard"/>
    <s v="Delivered"/>
    <n v="0"/>
    <n v="1"/>
    <s v="Yes"/>
    <n v="1"/>
    <s v="Damaged in Transit"/>
    <d v="2024-12-12T00:00:00"/>
    <s v="Processed"/>
  </r>
  <r>
    <s v="UT-100141"/>
    <d v="2024-11-03T00:00:00"/>
    <x v="1"/>
    <n v="44"/>
    <s v="Sunday"/>
    <x v="4"/>
    <s v="Saturday"/>
    <s v="CUST_10140"/>
    <x v="0"/>
    <s v="TOP-CHK-L"/>
    <s v="Tops"/>
    <s v="Chikankari Top"/>
    <n v="2299"/>
    <n v="1"/>
    <n v="2299"/>
    <s v="DIWALI40"/>
    <n v="40"/>
    <n v="57.475000000000001"/>
    <n v="2241.5250000000001"/>
    <x v="0"/>
    <x v="2"/>
    <s v="Vadodara"/>
    <s v="Gujarat"/>
    <s v="Mumbai"/>
    <d v="2024-11-15T00:00:00"/>
    <n v="12"/>
    <s v="Standard"/>
    <s v="Delivered"/>
    <n v="0"/>
    <n v="1"/>
    <s v="Yes"/>
    <n v="1"/>
    <s v="Size Issue"/>
    <d v="2024-12-13T00:00:00"/>
    <s v="Processed"/>
  </r>
  <r>
    <s v="UT-100142"/>
    <d v="2024-11-03T00:00:00"/>
    <x v="1"/>
    <n v="44"/>
    <s v="Sunday"/>
    <x v="4"/>
    <s v="Saturday"/>
    <s v="CUST_10141"/>
    <x v="0"/>
    <s v="DRS-SHR-S"/>
    <s v="Dresses"/>
    <s v="Sharara Set"/>
    <n v="5999"/>
    <n v="1"/>
    <n v="5999"/>
    <s v="DIWALI40"/>
    <n v="40"/>
    <n v="149.97499999999999"/>
    <n v="5849.0249999999996"/>
    <x v="1"/>
    <x v="0"/>
    <s v="Rajkot"/>
    <s v="Gujarat"/>
    <s v="Mumbai"/>
    <d v="2024-11-16T00:00:00"/>
    <n v="13"/>
    <s v="Standard"/>
    <s v="Delivered"/>
    <n v="0"/>
    <n v="1"/>
    <s v="Yes"/>
    <n v="1"/>
    <s v="Wrong Item"/>
    <d v="2024-12-15T00:00:00"/>
    <s v="Processed"/>
  </r>
  <r>
    <s v="UT-100143"/>
    <d v="2024-11-03T00:00:00"/>
    <x v="1"/>
    <n v="44"/>
    <s v="Sunday"/>
    <x v="4"/>
    <s v="Saturday"/>
    <s v="CUST_10142"/>
    <x v="1"/>
    <s v="BOT-GRR-M"/>
    <s v="Bottoms"/>
    <s v="Gharara Pants"/>
    <n v="2599"/>
    <n v="1"/>
    <n v="2599"/>
    <s v="DIWALI40"/>
    <n v="40"/>
    <n v="64.974999999999994"/>
    <n v="2534.0250000000001"/>
    <x v="2"/>
    <x v="1"/>
    <s v="Kanpur"/>
    <s v="Uttar Pradesh"/>
    <s v="Delhi"/>
    <d v="2024-11-15T00:00:00"/>
    <n v="12"/>
    <s v="Standard"/>
    <s v="Delivered"/>
    <n v="0"/>
    <n v="1"/>
    <s v="No"/>
    <n v="0"/>
    <s v=""/>
    <m/>
    <s v="Not Applicable"/>
  </r>
  <r>
    <s v="UT-100144"/>
    <d v="2024-11-04T00:00:00"/>
    <x v="1"/>
    <n v="45"/>
    <s v="Monday"/>
    <x v="5"/>
    <s v="Sunday"/>
    <s v="CUST_10143"/>
    <x v="0"/>
    <s v="OUT-PHU-L"/>
    <s v="Outerwear"/>
    <s v="Phulkari Jacket"/>
    <n v="4299"/>
    <n v="1"/>
    <n v="4299"/>
    <s v="DIWALI40"/>
    <n v="40"/>
    <n v="107.47499999999999"/>
    <n v="4191.5249999999996"/>
    <x v="1"/>
    <x v="2"/>
    <s v="Mumbai"/>
    <s v="Maharashtra"/>
    <s v="Mumbai"/>
    <d v="2024-11-17T00:00:00"/>
    <n v="13"/>
    <s v="Standard"/>
    <s v="Delivered"/>
    <n v="0"/>
    <n v="1"/>
    <s v="Yes"/>
    <n v="1"/>
    <s v="Quality Defect"/>
    <d v="2024-12-16T00:00:00"/>
    <s v="Processed"/>
  </r>
  <r>
    <s v="UT-100145"/>
    <d v="2024-11-04T00:00:00"/>
    <x v="1"/>
    <n v="45"/>
    <s v="Monday"/>
    <x v="5"/>
    <s v="Sunday"/>
    <s v="CUST_10144"/>
    <x v="0"/>
    <s v="ACC-MNP-OS"/>
    <s v="Accessories"/>
    <s v="Mang Patti"/>
    <n v="799"/>
    <n v="1"/>
    <n v="799"/>
    <s v="DIWALI40"/>
    <n v="40"/>
    <n v="19.975000000000001"/>
    <n v="779.02499999999998"/>
    <x v="0"/>
    <x v="0"/>
    <s v="Delhi"/>
    <s v="Delhi"/>
    <s v="Delhi"/>
    <d v="2024-11-16T00:00:00"/>
    <n v="12"/>
    <s v="Standard"/>
    <s v="Delivered"/>
    <n v="0"/>
    <n v="1"/>
    <s v="No"/>
    <n v="0"/>
    <s v=""/>
    <m/>
    <s v="Not Applicable"/>
  </r>
  <r>
    <s v="UT-100146"/>
    <d v="2024-11-04T00:00:00"/>
    <x v="1"/>
    <n v="45"/>
    <s v="Monday"/>
    <x v="5"/>
    <s v="Sunday"/>
    <s v="CUST_10145"/>
    <x v="0"/>
    <s v="TOP-BND-S"/>
    <s v="Tops"/>
    <s v="Bandhej Top"/>
    <n v="1899"/>
    <n v="1"/>
    <n v="1899"/>
    <s v="DIWALI40"/>
    <n v="40"/>
    <n v="47.475000000000001"/>
    <n v="1851.5250000000001"/>
    <x v="4"/>
    <x v="1"/>
    <s v="Kolkata"/>
    <s v="West Bengal"/>
    <s v="Delhi"/>
    <d v="2024-11-17T00:00:00"/>
    <n v="13"/>
    <s v="Standard"/>
    <s v="Delivered"/>
    <n v="0"/>
    <n v="1"/>
    <s v="Yes"/>
    <n v="1"/>
    <s v="Size Issue"/>
    <d v="2024-12-15T00:00:00"/>
    <s v="Processed"/>
  </r>
  <r>
    <s v="UT-100147"/>
    <d v="2024-11-05T00:00:00"/>
    <x v="1"/>
    <n v="45"/>
    <s v="Tuesday"/>
    <x v="5"/>
    <s v="Monday"/>
    <s v="CUST_10146"/>
    <x v="0"/>
    <s v="DRS-LKH-M"/>
    <s v="Dresses"/>
    <s v="Lucknowi Dress"/>
    <n v="4899"/>
    <n v="1"/>
    <n v="4899"/>
    <s v="DIWALI40"/>
    <n v="40"/>
    <n v="122.47499999999999"/>
    <n v="4776.5249999999996"/>
    <x v="3"/>
    <x v="2"/>
    <s v="Chennai"/>
    <s v="Tamil Nadu"/>
    <s v="Bangalore"/>
    <d v="2024-11-18T00:00:00"/>
    <n v="13"/>
    <s v="Standard"/>
    <s v="Delivered"/>
    <n v="0"/>
    <n v="1"/>
    <s v="Yes"/>
    <n v="1"/>
    <s v="Changed Mind"/>
    <d v="2024-12-17T00:00:00"/>
    <s v="Processed"/>
  </r>
  <r>
    <s v="UT-100148"/>
    <d v="2024-11-05T00:00:00"/>
    <x v="1"/>
    <n v="45"/>
    <s v="Tuesday"/>
    <x v="5"/>
    <s v="Monday"/>
    <s v="CUST_10147"/>
    <x v="1"/>
    <s v="BOT-PTL-L"/>
    <s v="Bottoms"/>
    <s v="Patiala Pants"/>
    <n v="1499"/>
    <n v="1"/>
    <n v="1499"/>
    <s v="DIWALI40"/>
    <n v="40"/>
    <n v="37.475000000000001"/>
    <n v="1461.5250000000001"/>
    <x v="1"/>
    <x v="0"/>
    <s v="Hyderabad"/>
    <s v="Telangana"/>
    <s v="Bangalore"/>
    <d v="2024-11-17T00:00:00"/>
    <n v="12"/>
    <s v="Standard"/>
    <s v="Delivered"/>
    <n v="0"/>
    <n v="1"/>
    <s v="No"/>
    <n v="0"/>
    <s v=""/>
    <m/>
    <s v="Not Applicable"/>
  </r>
  <r>
    <s v="UT-100149"/>
    <d v="2024-11-05T00:00:00"/>
    <x v="1"/>
    <n v="45"/>
    <s v="Tuesday"/>
    <x v="5"/>
    <s v="Monday"/>
    <s v="CUST_10148"/>
    <x v="0"/>
    <s v="OUT-KTH-M"/>
    <s v="Outerwear"/>
    <s v="Katha Work Jacket"/>
    <n v="5699"/>
    <n v="1"/>
    <n v="5699"/>
    <s v="DIWALI40"/>
    <n v="40"/>
    <n v="142.47499999999999"/>
    <n v="5556.5249999999996"/>
    <x v="0"/>
    <x v="1"/>
    <s v="Pune"/>
    <s v="Maharashtra"/>
    <s v="Mumbai"/>
    <d v="2024-11-19T00:00:00"/>
    <n v="14"/>
    <s v="Standard"/>
    <s v="Delivered"/>
    <n v="0"/>
    <n v="1"/>
    <s v="Yes"/>
    <n v="1"/>
    <s v="Size Issue"/>
    <d v="2024-12-18T00:00:00"/>
    <s v="Processed"/>
  </r>
  <r>
    <s v="UT-100150"/>
    <d v="2024-11-05T00:00:00"/>
    <x v="1"/>
    <n v="45"/>
    <s v="Tuesday"/>
    <x v="5"/>
    <s v="Monday"/>
    <s v="CUST_10149"/>
    <x v="0"/>
    <s v="ACC-BNG-OS"/>
    <s v="Accessories"/>
    <s v="Bangle Set"/>
    <n v="599"/>
    <n v="4"/>
    <n v="2396"/>
    <s v="DIWALI40"/>
    <n v="40"/>
    <n v="59.9"/>
    <n v="2336.1"/>
    <x v="2"/>
    <x v="2"/>
    <s v="Ahmedabad"/>
    <s v="Gujarat"/>
    <s v="Mumbai"/>
    <d v="2024-11-18T00:00:00"/>
    <n v="13"/>
    <s v="Standard"/>
    <s v="Delivered"/>
    <n v="0"/>
    <n v="1"/>
    <s v="Yes"/>
    <n v="1"/>
    <s v="Damaged in Transit"/>
    <d v="2024-12-16T00:00:00"/>
    <s v="Processed"/>
  </r>
  <r>
    <s v="UT-100151"/>
    <d v="2024-11-06T00:00:00"/>
    <x v="1"/>
    <n v="45"/>
    <s v="Wednesday"/>
    <x v="5"/>
    <s v="Tuesday"/>
    <s v="CUST_10150"/>
    <x v="0"/>
    <s v="TOP-KSH-L"/>
    <s v="Tops"/>
    <s v="Kashmiri Top"/>
    <n v="2999"/>
    <n v="1"/>
    <n v="2999"/>
    <s v=""/>
    <n v="0"/>
    <n v="0"/>
    <n v="2999"/>
    <x v="1"/>
    <x v="0"/>
    <s v="Jaipur"/>
    <s v="Rajasthan"/>
    <s v="Delhi"/>
    <d v="2024-11-19T00:00:00"/>
    <n v="13"/>
    <s v="Standard"/>
    <s v="Delivered"/>
    <n v="0"/>
    <n v="1"/>
    <s v="No"/>
    <n v="0"/>
    <s v=""/>
    <m/>
    <s v="Not Applicable"/>
  </r>
  <r>
    <s v="UT-100152"/>
    <d v="2024-11-06T00:00:00"/>
    <x v="1"/>
    <n v="45"/>
    <s v="Wednesday"/>
    <x v="5"/>
    <s v="Tuesday"/>
    <s v="CUST_10151"/>
    <x v="0"/>
    <s v="DRS-IDR-S"/>
    <s v="Dresses"/>
    <s v="Ikat Dress"/>
    <n v="2799"/>
    <n v="1"/>
    <n v="2799"/>
    <s v=""/>
    <n v="0"/>
    <n v="0"/>
    <n v="2799"/>
    <x v="0"/>
    <x v="1"/>
    <s v="Lucknow"/>
    <s v="Uttar Pradesh"/>
    <s v="Delhi"/>
    <d v="2024-11-20T00:00:00"/>
    <n v="14"/>
    <s v="Standard"/>
    <s v="Delivered"/>
    <n v="0"/>
    <n v="1"/>
    <s v="Yes"/>
    <n v="1"/>
    <s v="Quality Defect"/>
    <d v="2024-12-18T00:00:00"/>
    <s v="Processed"/>
  </r>
  <r>
    <s v="UT-100153"/>
    <d v="2024-11-06T00:00:00"/>
    <x v="1"/>
    <n v="45"/>
    <s v="Wednesday"/>
    <x v="5"/>
    <s v="Tuesday"/>
    <s v="CUST_10152"/>
    <x v="1"/>
    <s v="BOT-KLN-M"/>
    <s v="Bottoms"/>
    <s v="Kalamkari Pants"/>
    <n v="1699"/>
    <n v="1"/>
    <n v="1699"/>
    <s v="Nov15"/>
    <n v="15"/>
    <n v="113.26666666666667"/>
    <n v="1585.7333333333333"/>
    <x v="3"/>
    <x v="2"/>
    <s v="Bangalore"/>
    <s v="Karnataka"/>
    <s v="Bangalore"/>
    <d v="2024-11-18T00:00:00"/>
    <n v="12"/>
    <s v="Standard"/>
    <s v="Delivered"/>
    <n v="0"/>
    <n v="1"/>
    <s v="No"/>
    <n v="0"/>
    <s v=""/>
    <m/>
    <s v="Not Applicable"/>
  </r>
  <r>
    <s v="UT-100154"/>
    <d v="2024-11-07T00:00:00"/>
    <x v="1"/>
    <n v="45"/>
    <s v="Thursday"/>
    <x v="5"/>
    <s v="Wednesday"/>
    <s v="CUST_10153"/>
    <x v="0"/>
    <s v="OUT-JQD-L"/>
    <s v="Outerwear"/>
    <s v="Jacquard Jacket"/>
    <n v="4599"/>
    <n v="1"/>
    <n v="4599"/>
    <s v=""/>
    <n v="0"/>
    <n v="0"/>
    <n v="4599"/>
    <x v="1"/>
    <x v="0"/>
    <s v="Mumbai"/>
    <s v="Maharashtra"/>
    <s v="Mumbai"/>
    <d v="2024-11-21T00:00:00"/>
    <n v="14"/>
    <s v="Standard"/>
    <s v="Delivered"/>
    <n v="0"/>
    <n v="1"/>
    <s v="Yes"/>
    <n v="1"/>
    <s v="Size Issue"/>
    <d v="2024-12-20T00:00:00"/>
    <s v="Processed"/>
  </r>
  <r>
    <s v="UT-100155"/>
    <d v="2024-11-07T00:00:00"/>
    <x v="1"/>
    <n v="45"/>
    <s v="Thursday"/>
    <x v="5"/>
    <s v="Wednesday"/>
    <s v="CUST_10154"/>
    <x v="0"/>
    <s v="ACC-CHN-OS"/>
    <s v="Accessories"/>
    <s v="Choker Necklace"/>
    <n v="899"/>
    <n v="1"/>
    <n v="899"/>
    <s v=""/>
    <n v="0"/>
    <n v="0"/>
    <n v="899"/>
    <x v="2"/>
    <x v="1"/>
    <s v="Delhi"/>
    <s v="Delhi"/>
    <s v="Delhi"/>
    <d v="2024-11-19T00:00:00"/>
    <n v="12"/>
    <s v="Standard"/>
    <s v="Delivered"/>
    <n v="0"/>
    <n v="1"/>
    <s v="No"/>
    <n v="0"/>
    <s v=""/>
    <m/>
    <s v="Not Applicable"/>
  </r>
  <r>
    <s v="UT-100156"/>
    <d v="2024-11-07T00:00:00"/>
    <x v="1"/>
    <n v="45"/>
    <s v="Thursday"/>
    <x v="5"/>
    <s v="Wednesday"/>
    <s v="CUST_10155"/>
    <x v="0"/>
    <s v="TOP-AJR-M"/>
    <s v="Tops"/>
    <s v="Ajrakh Print Top"/>
    <n v="1799"/>
    <n v="1"/>
    <n v="1799"/>
    <s v="Nov15"/>
    <n v="15"/>
    <n v="119.93333333333334"/>
    <n v="1679.0666666666666"/>
    <x v="0"/>
    <x v="2"/>
    <s v="Chandigarh"/>
    <s v="Punjab"/>
    <s v="Delhi"/>
    <d v="2024-11-20T00:00:00"/>
    <n v="13"/>
    <s v="Standard"/>
    <s v="Delivered"/>
    <n v="0"/>
    <n v="1"/>
    <s v="Yes"/>
    <n v="1"/>
    <s v="Wrong Item"/>
    <d v="2024-12-19T00:00:00"/>
    <s v="Processed"/>
  </r>
  <r>
    <s v="UT-100157"/>
    <d v="2024-11-08T00:00:00"/>
    <x v="1"/>
    <n v="45"/>
    <s v="Friday"/>
    <x v="5"/>
    <s v="Thursday"/>
    <s v="CUST_10156"/>
    <x v="0"/>
    <s v="DRS-BLK-L"/>
    <s v="Dresses"/>
    <s v="Block Print Dress"/>
    <n v="2599"/>
    <n v="1"/>
    <n v="2599"/>
    <s v=""/>
    <n v="0"/>
    <n v="0"/>
    <n v="2599"/>
    <x v="4"/>
    <x v="0"/>
    <s v="Noida"/>
    <s v="Uttar Pradesh"/>
    <s v="Delhi"/>
    <d v="2024-11-22T00:00:00"/>
    <n v="14"/>
    <s v="Standard"/>
    <s v="Delivered"/>
    <n v="0"/>
    <n v="1"/>
    <s v="No"/>
    <n v="0"/>
    <s v=""/>
    <m/>
    <s v="Not Applicable"/>
  </r>
  <r>
    <s v="UT-100158"/>
    <d v="2024-11-08T00:00:00"/>
    <x v="1"/>
    <n v="45"/>
    <s v="Friday"/>
    <x v="5"/>
    <s v="Thursday"/>
    <s v="CUST_10157"/>
    <x v="1"/>
    <s v="BOT-TIE-S"/>
    <s v="Bottoms"/>
    <s v="Tie Dye Pants"/>
    <n v="1599"/>
    <n v="1"/>
    <n v="1599"/>
    <s v=""/>
    <n v="0"/>
    <n v="0"/>
    <n v="1599"/>
    <x v="1"/>
    <x v="1"/>
    <s v="Gurgaon"/>
    <s v="Haryana"/>
    <s v="Delhi"/>
    <d v="2024-11-20T00:00:00"/>
    <n v="12"/>
    <s v="Standard"/>
    <s v="Delivered"/>
    <n v="0"/>
    <n v="1"/>
    <s v="Yes"/>
    <n v="1"/>
    <s v="Changed Mind"/>
    <d v="2024-12-18T00:00:00"/>
    <s v="Processed"/>
  </r>
  <r>
    <s v="UT-100159"/>
    <d v="2024-11-08T00:00:00"/>
    <x v="1"/>
    <n v="45"/>
    <s v="Friday"/>
    <x v="5"/>
    <s v="Thursday"/>
    <s v="CUST_10158"/>
    <x v="0"/>
    <s v="OUT-EMB-M"/>
    <s v="Outerwear"/>
    <s v="Embellished Jacket"/>
    <n v="5299"/>
    <n v="1"/>
    <n v="5299"/>
    <s v="Nov15"/>
    <n v="15"/>
    <n v="353.26666666666665"/>
    <n v="4945.7333333333336"/>
    <x v="3"/>
    <x v="2"/>
    <s v="Indore"/>
    <s v="Madhya Pradesh"/>
    <s v="Mumbai"/>
    <d v="2024-11-23T00:00:00"/>
    <n v="15"/>
    <s v="Standard"/>
    <s v="Delivered"/>
    <n v="0"/>
    <n v="1"/>
    <s v="No"/>
    <n v="0"/>
    <s v=""/>
    <m/>
    <s v="Not Applicable"/>
  </r>
  <r>
    <s v="UT-100160"/>
    <d v="2024-11-09T00:00:00"/>
    <x v="1"/>
    <n v="45"/>
    <s v="Saturday"/>
    <x v="5"/>
    <s v="Friday"/>
    <s v="CUST_10159"/>
    <x v="0"/>
    <s v="ACC-HRM-OS"/>
    <s v="Accessories"/>
    <s v="Hair Clip Set"/>
    <n v="499"/>
    <n v="3"/>
    <n v="1497"/>
    <s v=""/>
    <n v="0"/>
    <n v="0"/>
    <n v="1497"/>
    <x v="0"/>
    <x v="0"/>
    <s v="Surat"/>
    <s v="Gujarat"/>
    <s v="Mumbai"/>
    <d v="2024-11-21T00:00:00"/>
    <n v="12"/>
    <s v="Standard"/>
    <s v="Delivered"/>
    <n v="0"/>
    <n v="1"/>
    <s v="Yes"/>
    <n v="1"/>
    <s v="Damaged in Transit"/>
    <d v="2024-12-19T00:00:00"/>
    <s v="Processed"/>
  </r>
  <r>
    <s v="UT-100161"/>
    <d v="2024-11-09T00:00:00"/>
    <x v="1"/>
    <n v="45"/>
    <s v="Saturday"/>
    <x v="5"/>
    <s v="Friday"/>
    <s v="CUST_10160"/>
    <x v="0"/>
    <s v="TOP-PRN-L"/>
    <s v="Tops"/>
    <s v="Printed Kurta"/>
    <n v="2099"/>
    <n v="1"/>
    <n v="2099"/>
    <s v=""/>
    <n v="0"/>
    <n v="0"/>
    <n v="2099"/>
    <x v="2"/>
    <x v="1"/>
    <s v="Patna"/>
    <s v="Bihar"/>
    <s v="Delhi"/>
    <m/>
    <n v="-45605"/>
    <s v="Fast"/>
    <s v="RTO"/>
    <n v="1"/>
    <n v="0"/>
    <s v="No"/>
    <n v="0"/>
    <s v=""/>
    <m/>
    <s v="Not Applicable"/>
  </r>
  <r>
    <s v="UT-100162"/>
    <d v="2024-11-09T00:00:00"/>
    <x v="1"/>
    <n v="45"/>
    <s v="Saturday"/>
    <x v="5"/>
    <s v="Friday"/>
    <s v="CUST_10161"/>
    <x v="0"/>
    <s v="DRS-FLR-S"/>
    <s v="Dresses"/>
    <s v="Floral Print Dress"/>
    <n v="2399"/>
    <n v="1"/>
    <n v="2399"/>
    <s v="Nov15"/>
    <n v="15"/>
    <n v="159.93333333333334"/>
    <n v="2239.0666666666666"/>
    <x v="1"/>
    <x v="2"/>
    <s v="Bhopal"/>
    <s v="Madhya Pradesh"/>
    <s v="Mumbai"/>
    <d v="2024-11-24T00:00:00"/>
    <n v="15"/>
    <s v="Standard"/>
    <s v="Delivered"/>
    <n v="0"/>
    <n v="1"/>
    <s v="Yes"/>
    <n v="1"/>
    <s v="Size Issue"/>
    <d v="2024-12-22T00:00:00"/>
    <s v="Processed"/>
  </r>
  <r>
    <s v="UT-100163"/>
    <d v="2024-11-10T00:00:00"/>
    <x v="1"/>
    <n v="45"/>
    <s v="Sunday"/>
    <x v="5"/>
    <s v="Saturday"/>
    <s v="CUST_10162"/>
    <x v="1"/>
    <s v="BOT-DOT-M"/>
    <s v="Bottoms"/>
    <s v="Polka Dot Pants"/>
    <n v="1799"/>
    <n v="1"/>
    <n v="1799"/>
    <s v=""/>
    <n v="0"/>
    <n v="0"/>
    <n v="1799"/>
    <x v="4"/>
    <x v="0"/>
    <s v="Nagpur"/>
    <s v="Maharashtra"/>
    <s v="Mumbai"/>
    <d v="2024-11-22T00:00:00"/>
    <n v="12"/>
    <s v="Standard"/>
    <s v="Delivered"/>
    <n v="0"/>
    <n v="1"/>
    <s v="No"/>
    <n v="0"/>
    <s v=""/>
    <m/>
    <s v="Not Applicable"/>
  </r>
  <r>
    <s v="UT-100164"/>
    <d v="2024-10-10T00:00:00"/>
    <x v="0"/>
    <n v="41"/>
    <s v="Thursday"/>
    <x v="1"/>
    <s v="Wednesday"/>
    <s v="CUST_10163"/>
    <x v="0"/>
    <s v="OUT-STR-L"/>
    <s v="Outerwear"/>
    <s v="Striped Blazer"/>
    <n v="4199"/>
    <n v="1"/>
    <n v="4199"/>
    <s v=""/>
    <n v="0"/>
    <n v="0"/>
    <n v="4199"/>
    <x v="0"/>
    <x v="1"/>
    <s v="Coimbatore"/>
    <s v="Tamil Nadu"/>
    <s v="Bangalore"/>
    <d v="2024-11-25T00:00:00"/>
    <n v="46"/>
    <s v="Slow"/>
    <s v="Delivered"/>
    <n v="0"/>
    <n v="1"/>
    <s v="Yes"/>
    <n v="1"/>
    <s v="Quality Defect"/>
    <d v="2024-12-24T00:00:00"/>
    <s v="Processed"/>
  </r>
  <r>
    <s v="UT-100165"/>
    <d v="2024-11-10T00:00:00"/>
    <x v="1"/>
    <n v="45"/>
    <s v="Sunday"/>
    <x v="5"/>
    <s v="Saturday"/>
    <s v="CUST_10164"/>
    <x v="0"/>
    <s v="ACC-TBR-OS"/>
    <s v="Accessories"/>
    <s v="Tassel Earrings"/>
    <n v="699"/>
    <n v="2"/>
    <n v="1398"/>
    <s v=""/>
    <n v="0"/>
    <n v="0"/>
    <n v="1398"/>
    <x v="3"/>
    <x v="2"/>
    <s v="Kochi"/>
    <s v="Kerala"/>
    <s v="Bangalore"/>
    <d v="2024-11-23T00:00:00"/>
    <n v="13"/>
    <s v="Standard"/>
    <s v="Delivered"/>
    <n v="0"/>
    <n v="1"/>
    <s v="No"/>
    <n v="0"/>
    <s v=""/>
    <m/>
    <s v="Not Applicable"/>
  </r>
  <r>
    <s v="UT-100166"/>
    <d v="2024-11-11T00:00:00"/>
    <x v="1"/>
    <n v="46"/>
    <s v="Monday"/>
    <x v="6"/>
    <s v="Sunday"/>
    <s v="CUST_10165"/>
    <x v="0"/>
    <s v="TOP-SLV-S"/>
    <s v="Tops"/>
    <s v="Sleeve Detail Top"/>
    <n v="1599"/>
    <n v="1"/>
    <n v="1599"/>
    <s v="Nov15"/>
    <n v="15"/>
    <n v="106.6"/>
    <n v="1492.4"/>
    <x v="1"/>
    <x v="0"/>
    <s v="Vizag"/>
    <s v="Andhra Pradesh"/>
    <s v="Bangalore"/>
    <d v="2024-11-24T00:00:00"/>
    <n v="13"/>
    <s v="Standard"/>
    <s v="Delivered"/>
    <n v="0"/>
    <n v="1"/>
    <s v="Yes"/>
    <n v="1"/>
    <s v="Size Issue"/>
    <d v="2024-12-23T00:00:00"/>
    <s v="Processed"/>
  </r>
  <r>
    <s v="UT-100167"/>
    <d v="2024-11-11T00:00:00"/>
    <x v="1"/>
    <n v="46"/>
    <s v="Monday"/>
    <x v="6"/>
    <s v="Sunday"/>
    <s v="CUST_10166"/>
    <x v="0"/>
    <s v="DRS-ASY-M"/>
    <s v="Dresses"/>
    <s v="Asymmetric Dress"/>
    <n v="2899"/>
    <n v="1"/>
    <n v="2899"/>
    <s v=""/>
    <n v="0"/>
    <n v="0"/>
    <n v="2899"/>
    <x v="2"/>
    <x v="1"/>
    <s v="Thiruvananthapuram"/>
    <s v="Kerala"/>
    <s v="Bangalore"/>
    <d v="2024-11-26T00:00:00"/>
    <n v="15"/>
    <s v="Standard"/>
    <s v="Delivered"/>
    <n v="0"/>
    <n v="1"/>
    <s v="Yes"/>
    <n v="1"/>
    <s v="Wrong Item"/>
    <d v="2024-12-25T00:00:00"/>
    <s v="Processed"/>
  </r>
  <r>
    <s v="UT-100168"/>
    <d v="2024-11-11T00:00:00"/>
    <x v="1"/>
    <n v="46"/>
    <s v="Monday"/>
    <x v="6"/>
    <s v="Sunday"/>
    <s v="CUST_10167"/>
    <x v="1"/>
    <s v="BOT-FRN-L"/>
    <s v="Bottoms"/>
    <s v="Fringe Pants"/>
    <n v="2199"/>
    <n v="1"/>
    <n v="2199"/>
    <s v=""/>
    <n v="0"/>
    <n v="0"/>
    <n v="2199"/>
    <x v="0"/>
    <x v="2"/>
    <s v="Mysore"/>
    <s v="Karnataka"/>
    <s v="Bangalore"/>
    <d v="2024-11-24T00:00:00"/>
    <n v="13"/>
    <s v="Standard"/>
    <s v="Delivered"/>
    <n v="0"/>
    <n v="1"/>
    <s v="No"/>
    <n v="0"/>
    <s v=""/>
    <m/>
    <s v="Not Applicable"/>
  </r>
  <r>
    <s v="UT-100169"/>
    <d v="2024-11-12T00:00:00"/>
    <x v="1"/>
    <n v="46"/>
    <s v="Tuesday"/>
    <x v="6"/>
    <s v="Monday"/>
    <s v="CUST_10168"/>
    <x v="0"/>
    <s v="OUT-TWD-M"/>
    <s v="Outerwear"/>
    <s v="Tweed Jacket"/>
    <n v="5599"/>
    <n v="1"/>
    <n v="5599"/>
    <s v=""/>
    <n v="0"/>
    <n v="0"/>
    <n v="5599"/>
    <x v="1"/>
    <x v="0"/>
    <s v="Vadodara"/>
    <s v="Gujarat"/>
    <s v="Mumbai"/>
    <d v="2024-11-27T00:00:00"/>
    <n v="15"/>
    <s v="Standard"/>
    <s v="Delivered"/>
    <n v="0"/>
    <n v="1"/>
    <s v="Yes"/>
    <n v="1"/>
    <s v="Changed Mind"/>
    <d v="2024-12-26T00:00:00"/>
    <s v="Processed"/>
  </r>
  <r>
    <s v="UT-100170"/>
    <d v="2024-11-12T00:00:00"/>
    <x v="1"/>
    <n v="46"/>
    <s v="Tuesday"/>
    <x v="6"/>
    <s v="Monday"/>
    <s v="CUST_10169"/>
    <x v="0"/>
    <s v="ACC-PIN-OS"/>
    <s v="Accessories"/>
    <s v="Brooch Pin"/>
    <n v="399"/>
    <n v="2"/>
    <n v="798"/>
    <s v="Nov15"/>
    <n v="15"/>
    <n v="53.2"/>
    <n v="744.8"/>
    <x v="4"/>
    <x v="1"/>
    <s v="Rajkot"/>
    <s v="Gujarat"/>
    <s v="Mumbai"/>
    <d v="2024-11-25T00:00:00"/>
    <n v="13"/>
    <s v="Standard"/>
    <s v="Delivered"/>
    <n v="0"/>
    <n v="1"/>
    <s v="No"/>
    <n v="0"/>
    <s v=""/>
    <m/>
    <s v="Not Applicable"/>
  </r>
  <r>
    <s v="UT-100171"/>
    <d v="2024-11-12T00:00:00"/>
    <x v="1"/>
    <n v="46"/>
    <s v="Tuesday"/>
    <x v="6"/>
    <s v="Monday"/>
    <s v="CUST_10170"/>
    <x v="0"/>
    <s v="TOP-MCR-M"/>
    <s v="Tops"/>
    <s v="Macrame Top"/>
    <n v="1899"/>
    <n v="1"/>
    <n v="1899"/>
    <s v=""/>
    <n v="0"/>
    <n v="0"/>
    <n v="1899"/>
    <x v="3"/>
    <x v="2"/>
    <s v="Kanpur"/>
    <s v="Uttar Pradesh"/>
    <s v="Delhi"/>
    <d v="2024-11-26T00:00:00"/>
    <n v="14"/>
    <s v="Standard"/>
    <s v="Delivered"/>
    <n v="0"/>
    <n v="1"/>
    <s v="Yes"/>
    <n v="1"/>
    <s v="Quality Defect"/>
    <d v="2024-12-24T00:00:00"/>
    <s v="Processed"/>
  </r>
  <r>
    <s v="UT-100172"/>
    <d v="2024-11-13T00:00:00"/>
    <x v="1"/>
    <n v="46"/>
    <s v="Wednesday"/>
    <x v="6"/>
    <s v="Tuesday"/>
    <s v="CUST_10171"/>
    <x v="0"/>
    <s v="DRS-PLT-S"/>
    <s v="Dresses"/>
    <s v="Pleated Midi Dress"/>
    <n v="2699"/>
    <n v="1"/>
    <n v="2699"/>
    <s v=""/>
    <n v="0"/>
    <n v="0"/>
    <n v="2699"/>
    <x v="0"/>
    <x v="0"/>
    <s v="Mumbai"/>
    <s v="Maharashtra"/>
    <s v="Mumbai"/>
    <d v="2024-11-28T00:00:00"/>
    <n v="15"/>
    <s v="Standard"/>
    <s v="Delivered"/>
    <n v="0"/>
    <n v="1"/>
    <s v="No"/>
    <n v="0"/>
    <s v=""/>
    <m/>
    <s v="Not Applicable"/>
  </r>
  <r>
    <s v="UT-100173"/>
    <d v="2024-11-13T00:00:00"/>
    <x v="1"/>
    <n v="46"/>
    <s v="Wednesday"/>
    <x v="6"/>
    <s v="Tuesday"/>
    <s v="CUST_10172"/>
    <x v="1"/>
    <s v="BOT-VLT-L"/>
    <s v="Bottoms"/>
    <s v="Velvet Pants"/>
    <n v="2499"/>
    <n v="1"/>
    <n v="2499"/>
    <s v="Nov15"/>
    <n v="15"/>
    <n v="166.6"/>
    <n v="2332.4"/>
    <x v="1"/>
    <x v="1"/>
    <s v="Delhi"/>
    <s v="Delhi"/>
    <s v="Delhi"/>
    <d v="2024-11-26T00:00:00"/>
    <n v="13"/>
    <s v="Standard"/>
    <s v="Delivered"/>
    <n v="0"/>
    <n v="1"/>
    <s v="Yes"/>
    <n v="1"/>
    <s v="Size Issue"/>
    <d v="2024-12-25T00:00:00"/>
    <s v="Processed"/>
  </r>
  <r>
    <s v="UT-100174"/>
    <d v="2024-11-13T00:00:00"/>
    <x v="1"/>
    <n v="46"/>
    <s v="Wednesday"/>
    <x v="6"/>
    <s v="Tuesday"/>
    <s v="CUST_10173"/>
    <x v="0"/>
    <s v="OUT-CHK-M"/>
    <s v="Outerwear"/>
    <s v="Check Coat"/>
    <n v="6299"/>
    <n v="1"/>
    <n v="6299"/>
    <s v=""/>
    <n v="0"/>
    <n v="0"/>
    <n v="6299"/>
    <x v="2"/>
    <x v="2"/>
    <s v="Kolkata"/>
    <s v="West Bengal"/>
    <s v="Delhi"/>
    <m/>
    <n v="-45609"/>
    <s v="Fast"/>
    <s v="RTO"/>
    <n v="1"/>
    <n v="0"/>
    <s v="No"/>
    <n v="0"/>
    <s v=""/>
    <m/>
    <s v="Not Applicable"/>
  </r>
  <r>
    <s v="UT-100175"/>
    <d v="2024-11-14T00:00:00"/>
    <x v="1"/>
    <n v="46"/>
    <s v="Thursday"/>
    <x v="6"/>
    <s v="Wednesday"/>
    <s v="CUST_10174"/>
    <x v="0"/>
    <s v="ACC-WVN-OS"/>
    <s v="Accessories"/>
    <s v="Woven Bag"/>
    <n v="1599"/>
    <n v="1"/>
    <n v="1599"/>
    <s v=""/>
    <n v="0"/>
    <n v="0"/>
    <n v="1599"/>
    <x v="4"/>
    <x v="0"/>
    <s v="Chennai"/>
    <s v="Tamil Nadu"/>
    <s v="Bangalore"/>
    <d v="2024-11-27T00:00:00"/>
    <n v="13"/>
    <s v="Standard"/>
    <s v="Delivered"/>
    <n v="0"/>
    <n v="1"/>
    <s v="Yes"/>
    <n v="1"/>
    <s v="Damaged in Transit"/>
    <d v="2024-12-26T00:00:00"/>
    <s v="Processed"/>
  </r>
  <r>
    <s v="UT-100176"/>
    <d v="2024-11-14T00:00:00"/>
    <x v="1"/>
    <n v="46"/>
    <s v="Thursday"/>
    <x v="6"/>
    <s v="Wednesday"/>
    <s v="CUST_10175"/>
    <x v="0"/>
    <s v="TOP-BLN-L"/>
    <s v="Tops"/>
    <s v="Balloon Sleeve Top"/>
    <n v="1699"/>
    <n v="1"/>
    <n v="1699"/>
    <s v=""/>
    <n v="0"/>
    <n v="0"/>
    <n v="1699"/>
    <x v="0"/>
    <x v="1"/>
    <s v="Hyderabad"/>
    <s v="Telangana"/>
    <s v="Bangalore"/>
    <d v="2024-11-28T00:00:00"/>
    <n v="14"/>
    <s v="Standard"/>
    <s v="Delivered"/>
    <n v="0"/>
    <n v="1"/>
    <s v="No"/>
    <n v="0"/>
    <s v=""/>
    <m/>
    <s v="Not Applicable"/>
  </r>
  <r>
    <s v="UT-100177"/>
    <d v="2024-11-14T00:00:00"/>
    <x v="1"/>
    <n v="46"/>
    <s v="Thursday"/>
    <x v="6"/>
    <s v="Wednesday"/>
    <s v="CUST_10176"/>
    <x v="0"/>
    <s v="DRS-CRO-S"/>
    <s v="Dresses"/>
    <s v="Crochet Dress"/>
    <n v="3199"/>
    <n v="1"/>
    <n v="3199"/>
    <s v="Nov15"/>
    <n v="15"/>
    <n v="213.26666666666668"/>
    <n v="2985.7333333333331"/>
    <x v="3"/>
    <x v="2"/>
    <s v="Pune"/>
    <s v="Maharashtra"/>
    <s v="Mumbai"/>
    <d v="2024-11-29T00:00:00"/>
    <n v="15"/>
    <s v="Standard"/>
    <s v="Delivered"/>
    <n v="0"/>
    <n v="1"/>
    <s v="Yes"/>
    <n v="1"/>
    <s v="Size Issue"/>
    <d v="2024-12-28T00:00:00"/>
    <s v="Processed"/>
  </r>
  <r>
    <s v="UT-100178"/>
    <d v="2024-11-15T00:00:00"/>
    <x v="1"/>
    <n v="46"/>
    <s v="Friday"/>
    <x v="6"/>
    <s v="Thursday"/>
    <s v="CUST_10177"/>
    <x v="1"/>
    <s v="BOT-PTW-M"/>
    <s v="Bottoms"/>
    <s v="Patchwork Pants"/>
    <n v="2099"/>
    <n v="1"/>
    <n v="2099"/>
    <s v=""/>
    <n v="0"/>
    <n v="0"/>
    <n v="2099"/>
    <x v="1"/>
    <x v="0"/>
    <s v="Ahmedabad"/>
    <s v="Gujarat"/>
    <s v="Mumbai"/>
    <d v="2024-11-28T00:00:00"/>
    <n v="13"/>
    <s v="Standard"/>
    <s v="Delivered"/>
    <n v="0"/>
    <n v="1"/>
    <s v="No"/>
    <n v="0"/>
    <s v=""/>
    <m/>
    <s v="Not Applicable"/>
  </r>
  <r>
    <s v="UT-100179"/>
    <d v="2024-11-15T00:00:00"/>
    <x v="1"/>
    <n v="46"/>
    <s v="Friday"/>
    <x v="6"/>
    <s v="Thursday"/>
    <s v="CUST_10178"/>
    <x v="0"/>
    <s v="OUT-HRN-L"/>
    <s v="Outerwear"/>
    <s v="Herringbone Coat"/>
    <n v="6999"/>
    <n v="1"/>
    <n v="6999"/>
    <s v=""/>
    <n v="0"/>
    <n v="0"/>
    <n v="6999"/>
    <x v="0"/>
    <x v="1"/>
    <s v="Jaipur"/>
    <s v="Rajasthan"/>
    <s v="Delhi"/>
    <d v="2024-11-30T00:00:00"/>
    <n v="15"/>
    <s v="Standard"/>
    <s v="Delivered"/>
    <n v="0"/>
    <n v="1"/>
    <s v="Yes"/>
    <n v="1"/>
    <s v="Wrong Item"/>
    <d v="2024-12-29T00:00:00"/>
    <s v="Processed"/>
  </r>
  <r>
    <s v="UT-100180"/>
    <d v="2024-11-15T00:00:00"/>
    <x v="1"/>
    <n v="46"/>
    <s v="Friday"/>
    <x v="6"/>
    <s v="Thursday"/>
    <s v="CUST_10179"/>
    <x v="0"/>
    <s v="ACC-MTL-OS"/>
    <s v="Accessories"/>
    <s v="Metal Belt"/>
    <n v="899"/>
    <n v="1"/>
    <n v="899"/>
    <s v=""/>
    <n v="0"/>
    <n v="0"/>
    <n v="899"/>
    <x v="2"/>
    <x v="2"/>
    <s v="Lucknow"/>
    <s v="Uttar Pradesh"/>
    <s v="Delhi"/>
    <d v="2024-11-28T00:00:00"/>
    <n v="13"/>
    <s v="Standard"/>
    <s v="Delivered"/>
    <n v="0"/>
    <n v="1"/>
    <s v="Yes"/>
    <n v="1"/>
    <s v="Changed Mind"/>
    <d v="2024-12-27T00:00:00"/>
    <s v="Processed"/>
  </r>
  <r>
    <s v="UT-100181"/>
    <d v="2024-11-16T00:00:00"/>
    <x v="1"/>
    <n v="46"/>
    <s v="Saturday"/>
    <x v="6"/>
    <s v="Friday"/>
    <s v="CUST_10180"/>
    <x v="0"/>
    <s v="TOP-RCH-S"/>
    <s v="Tops"/>
    <s v="Rouched Top"/>
    <n v="1499"/>
    <n v="1"/>
    <n v="1499"/>
    <s v="Nov15"/>
    <n v="15"/>
    <n v="99.933333333333337"/>
    <n v="1399.0666666666666"/>
    <x v="4"/>
    <x v="0"/>
    <s v="Bangalore"/>
    <s v="Karnataka"/>
    <s v="Bangalore"/>
    <d v="2024-11-29T00:00:00"/>
    <n v="13"/>
    <s v="Standard"/>
    <s v="Delivered"/>
    <n v="0"/>
    <n v="1"/>
    <s v="No"/>
    <n v="0"/>
    <s v=""/>
    <m/>
    <s v="Not Applicable"/>
  </r>
  <r>
    <s v="UT-100182"/>
    <d v="2024-11-16T00:00:00"/>
    <x v="1"/>
    <n v="46"/>
    <s v="Saturday"/>
    <x v="6"/>
    <s v="Friday"/>
    <s v="CUST_10181"/>
    <x v="0"/>
    <s v="DRS-TRF-M"/>
    <s v="Dresses"/>
    <s v="Tiered Ruffle Dress"/>
    <n v="2999"/>
    <n v="1"/>
    <n v="2999"/>
    <s v=""/>
    <n v="0"/>
    <n v="0"/>
    <n v="2999"/>
    <x v="3"/>
    <x v="1"/>
    <s v="Mumbai"/>
    <s v="Maharashtra"/>
    <s v="Mumbai"/>
    <d v="2024-12-01T00:00:00"/>
    <n v="15"/>
    <s v="Standard"/>
    <s v="Delivered"/>
    <n v="0"/>
    <n v="1"/>
    <s v="Yes"/>
    <n v="1"/>
    <s v="Quality Defect"/>
    <d v="2024-12-30T00:00:00"/>
    <s v="Processed"/>
  </r>
  <r>
    <s v="UT-100183"/>
    <d v="2024-11-16T00:00:00"/>
    <x v="1"/>
    <n v="46"/>
    <s v="Saturday"/>
    <x v="6"/>
    <s v="Friday"/>
    <s v="CUST_10182"/>
    <x v="1"/>
    <s v="BOT-BND-L"/>
    <s v="Bottoms"/>
    <s v="Banded Pants"/>
    <n v="1899"/>
    <n v="1"/>
    <n v="1899"/>
    <s v=""/>
    <n v="0"/>
    <n v="0"/>
    <n v="1899"/>
    <x v="1"/>
    <x v="2"/>
    <s v="Delhi"/>
    <s v="Delhi"/>
    <s v="Delhi"/>
    <d v="2024-11-29T00:00:00"/>
    <n v="13"/>
    <s v="Standard"/>
    <s v="Delivered"/>
    <n v="0"/>
    <n v="1"/>
    <s v="No"/>
    <n v="0"/>
    <s v=""/>
    <m/>
    <s v="Not Applicable"/>
  </r>
  <r>
    <s v="UT-100184"/>
    <d v="2024-11-17T00:00:00"/>
    <x v="1"/>
    <n v="46"/>
    <s v="Sunday"/>
    <x v="6"/>
    <s v="Saturday"/>
    <s v="CUST_10183"/>
    <x v="0"/>
    <s v="OUT-CML-M"/>
    <s v="Outerwear"/>
    <s v="Camel Coat"/>
    <n v="7499"/>
    <n v="1"/>
    <n v="7499"/>
    <s v=""/>
    <n v="0"/>
    <n v="0"/>
    <n v="7499"/>
    <x v="0"/>
    <x v="0"/>
    <s v="Chandigarh"/>
    <s v="Punjab"/>
    <s v="Delhi"/>
    <d v="2024-12-02T00:00:00"/>
    <n v="15"/>
    <s v="Standard"/>
    <s v="Delivered"/>
    <n v="0"/>
    <n v="1"/>
    <s v="Yes"/>
    <n v="1"/>
    <s v="Size Issue"/>
    <d v="2024-12-31T00:00:00"/>
    <s v="Processed"/>
  </r>
  <r>
    <s v="UT-100185"/>
    <d v="2024-11-17T00:00:00"/>
    <x v="1"/>
    <n v="46"/>
    <s v="Sunday"/>
    <x v="6"/>
    <s v="Saturday"/>
    <s v="CUST_10184"/>
    <x v="0"/>
    <s v="ACC-STN-OS"/>
    <s v="Accessories"/>
    <s v="Stone Necklace"/>
    <n v="1299"/>
    <n v="1"/>
    <n v="1299"/>
    <s v="Nov15"/>
    <n v="15"/>
    <n v="86.6"/>
    <n v="1212.4000000000001"/>
    <x v="2"/>
    <x v="1"/>
    <s v="Noida"/>
    <s v="Uttar Pradesh"/>
    <s v="Delhi"/>
    <d v="2024-11-30T00:00:00"/>
    <n v="13"/>
    <s v="Standard"/>
    <s v="Delivered"/>
    <n v="0"/>
    <n v="1"/>
    <s v="No"/>
    <n v="0"/>
    <s v=""/>
    <m/>
    <s v="Not Applicable"/>
  </r>
  <r>
    <s v="UT-100186"/>
    <d v="2024-11-17T00:00:00"/>
    <x v="1"/>
    <n v="46"/>
    <s v="Sunday"/>
    <x v="6"/>
    <s v="Saturday"/>
    <s v="CUST_10185"/>
    <x v="0"/>
    <s v="TOP-KNT-M"/>
    <s v="Tops"/>
    <s v="Knotted Top"/>
    <n v="1599"/>
    <n v="1"/>
    <n v="1599"/>
    <s v=""/>
    <n v="0"/>
    <n v="0"/>
    <n v="1599"/>
    <x v="1"/>
    <x v="2"/>
    <s v="Gurgaon"/>
    <s v="Haryana"/>
    <s v="Delhi"/>
    <d v="2024-12-01T00:00:00"/>
    <n v="14"/>
    <s v="Standard"/>
    <s v="Delivered"/>
    <n v="0"/>
    <n v="1"/>
    <s v="Yes"/>
    <n v="1"/>
    <s v="Damaged in Transit"/>
    <d v="2024-12-29T00:00:00"/>
    <s v="Processed"/>
  </r>
  <r>
    <s v="UT-100187"/>
    <d v="2024-11-18T00:00:00"/>
    <x v="1"/>
    <n v="47"/>
    <s v="Monday"/>
    <x v="7"/>
    <s v="Sunday"/>
    <s v="CUST_10186"/>
    <x v="0"/>
    <s v="DRS-SQN-L"/>
    <s v="Dresses"/>
    <s v="Sequin Midi Dress"/>
    <n v="3799"/>
    <n v="1"/>
    <n v="3799"/>
    <s v=""/>
    <n v="0"/>
    <n v="0"/>
    <n v="3799"/>
    <x v="4"/>
    <x v="0"/>
    <s v="Indore"/>
    <s v="Madhya Pradesh"/>
    <s v="Mumbai"/>
    <d v="2024-12-03T00:00:00"/>
    <n v="15"/>
    <s v="Standard"/>
    <s v="Delivered"/>
    <n v="0"/>
    <n v="1"/>
    <s v="No"/>
    <n v="0"/>
    <s v=""/>
    <m/>
    <s v="Not Applicable"/>
  </r>
  <r>
    <s v="UT-100188"/>
    <d v="2024-11-18T00:00:00"/>
    <x v="1"/>
    <n v="47"/>
    <s v="Monday"/>
    <x v="7"/>
    <s v="Sunday"/>
    <s v="CUST_10187"/>
    <x v="1"/>
    <s v="BOT-GLT-S"/>
    <s v="Bottoms"/>
    <s v="Glitter Pants"/>
    <n v="2299"/>
    <n v="1"/>
    <n v="2299"/>
    <s v=""/>
    <n v="0"/>
    <n v="0"/>
    <n v="2299"/>
    <x v="0"/>
    <x v="1"/>
    <s v="Surat"/>
    <s v="Gujarat"/>
    <s v="Mumbai"/>
    <d v="2024-12-01T00:00:00"/>
    <n v="13"/>
    <s v="Standard"/>
    <s v="Delivered"/>
    <n v="0"/>
    <n v="1"/>
    <s v="Yes"/>
    <n v="1"/>
    <s v="Size Issue"/>
    <d v="2024-12-30T00:00:00"/>
    <s v="Processed"/>
  </r>
  <r>
    <s v="UT-100189"/>
    <d v="2024-11-18T00:00:00"/>
    <x v="1"/>
    <n v="47"/>
    <s v="Monday"/>
    <x v="7"/>
    <s v="Sunday"/>
    <s v="CUST_10188"/>
    <x v="0"/>
    <s v="OUT-FXF-M"/>
    <s v="Outerwear"/>
    <s v="Faux Fur Jacket"/>
    <n v="5999"/>
    <n v="1"/>
    <n v="5999"/>
    <s v="Nov15"/>
    <n v="15"/>
    <n v="399.93333333333334"/>
    <n v="5599.0666666666666"/>
    <x v="3"/>
    <x v="2"/>
    <s v="Patna"/>
    <s v="Bihar"/>
    <s v="Delhi"/>
    <d v="2024-12-04T00:00:00"/>
    <n v="16"/>
    <s v="Slow"/>
    <s v="Delivered"/>
    <n v="0"/>
    <n v="1"/>
    <s v="Yes"/>
    <n v="1"/>
    <s v="Wrong Item"/>
    <d v="2025-01-02T00:00:00"/>
    <s v="Processed"/>
  </r>
  <r>
    <s v="UT-100190"/>
    <d v="2024-11-19T00:00:00"/>
    <x v="1"/>
    <n v="47"/>
    <s v="Tuesday"/>
    <x v="7"/>
    <s v="Monday"/>
    <s v="CUST_10189"/>
    <x v="0"/>
    <s v="ACC-CHM-OS"/>
    <s v="Accessories"/>
    <s v="Charm Anklet"/>
    <n v="499"/>
    <n v="2"/>
    <n v="998"/>
    <s v=""/>
    <n v="0"/>
    <n v="0"/>
    <n v="998"/>
    <x v="1"/>
    <x v="0"/>
    <s v="Bhopal"/>
    <s v="Madhya Pradesh"/>
    <s v="Mumbai"/>
    <d v="2024-12-02T00:00:00"/>
    <n v="13"/>
    <s v="Standard"/>
    <s v="Delivered"/>
    <n v="0"/>
    <n v="1"/>
    <s v="No"/>
    <n v="0"/>
    <s v=""/>
    <m/>
    <s v="Not Applicable"/>
  </r>
  <r>
    <s v="UT-100191"/>
    <d v="2024-11-19T00:00:00"/>
    <x v="1"/>
    <n v="47"/>
    <s v="Tuesday"/>
    <x v="7"/>
    <s v="Monday"/>
    <s v="CUST_10190"/>
    <x v="0"/>
    <s v="TOP-TXD-L"/>
    <s v="Tops"/>
    <s v="Textured Top"/>
    <n v="1799"/>
    <n v="1"/>
    <n v="1799"/>
    <s v=""/>
    <n v="0"/>
    <n v="0"/>
    <n v="1799"/>
    <x v="2"/>
    <x v="1"/>
    <s v="Nagpur"/>
    <s v="Maharashtra"/>
    <s v="Mumbai"/>
    <m/>
    <n v="-45615"/>
    <s v="Fast"/>
    <s v="RTO"/>
    <n v="1"/>
    <n v="0"/>
    <s v="No"/>
    <n v="0"/>
    <s v=""/>
    <m/>
    <s v="Not Applicable"/>
  </r>
  <r>
    <s v="UT-100192"/>
    <d v="2024-11-19T00:00:00"/>
    <x v="1"/>
    <n v="47"/>
    <s v="Tuesday"/>
    <x v="7"/>
    <s v="Monday"/>
    <s v="CUST_10191"/>
    <x v="0"/>
    <s v="DRS-VLR-S"/>
    <s v="Dresses"/>
    <s v="Velour Dress"/>
    <n v="2999"/>
    <n v="1"/>
    <n v="2999"/>
    <s v=""/>
    <n v="0"/>
    <n v="0"/>
    <n v="2999"/>
    <x v="0"/>
    <x v="2"/>
    <s v="Coimbatore"/>
    <s v="Tamil Nadu"/>
    <s v="Bangalore"/>
    <d v="2024-12-05T00:00:00"/>
    <n v="16"/>
    <s v="Slow"/>
    <s v="Delivered"/>
    <n v="0"/>
    <n v="1"/>
    <s v="Yes"/>
    <n v="1"/>
    <s v="Changed Mind"/>
    <d v="2025-01-03T00:00:00"/>
    <s v="Processed"/>
  </r>
  <r>
    <s v="UT-100193"/>
    <d v="2024-11-20T00:00:00"/>
    <x v="1"/>
    <n v="47"/>
    <s v="Wednesday"/>
    <x v="7"/>
    <s v="Tuesday"/>
    <s v="CUST_10192"/>
    <x v="1"/>
    <s v="BOT-STN-M"/>
    <s v="Bottoms"/>
    <s v="Satin Pants"/>
    <n v="2199"/>
    <n v="1"/>
    <n v="2199"/>
    <s v="Nov15"/>
    <n v="15"/>
    <n v="146.6"/>
    <n v="2052.4"/>
    <x v="4"/>
    <x v="0"/>
    <s v="Kochi"/>
    <s v="Kerala"/>
    <s v="Bangalore"/>
    <d v="2024-12-03T00:00:00"/>
    <n v="13"/>
    <s v="Standard"/>
    <s v="Delivered"/>
    <n v="0"/>
    <n v="1"/>
    <s v="No"/>
    <n v="0"/>
    <s v=""/>
    <m/>
    <s v="Not Applicable"/>
  </r>
  <r>
    <s v="UT-100194"/>
    <d v="2024-11-20T00:00:00"/>
    <x v="1"/>
    <n v="47"/>
    <s v="Wednesday"/>
    <x v="7"/>
    <s v="Tuesday"/>
    <s v="CUST_10193"/>
    <x v="0"/>
    <s v="OUT-SHN-L"/>
    <s v="Outerwear"/>
    <s v="Shiny Jacket"/>
    <n v="4899"/>
    <n v="1"/>
    <n v="4899"/>
    <s v=""/>
    <n v="0"/>
    <n v="0"/>
    <n v="4899"/>
    <x v="3"/>
    <x v="1"/>
    <s v="Vizag"/>
    <s v="Andhra Pradesh"/>
    <s v="Bangalore"/>
    <d v="2024-12-06T00:00:00"/>
    <n v="16"/>
    <s v="Slow"/>
    <s v="Delivered"/>
    <n v="0"/>
    <n v="1"/>
    <s v="Yes"/>
    <n v="1"/>
    <s v="Quality Defect"/>
    <d v="2025-01-04T00:00:00"/>
    <s v="Processed"/>
  </r>
  <r>
    <s v="UT-100195"/>
    <d v="2024-11-20T00:00:00"/>
    <x v="1"/>
    <n v="47"/>
    <s v="Wednesday"/>
    <x v="7"/>
    <s v="Tuesday"/>
    <s v="CUST_10194"/>
    <x v="0"/>
    <s v="ACC-PRL-OS"/>
    <s v="Accessories"/>
    <s v="Pearl Earrings"/>
    <n v="799"/>
    <n v="1"/>
    <n v="799"/>
    <s v=""/>
    <n v="0"/>
    <n v="0"/>
    <n v="799"/>
    <x v="1"/>
    <x v="2"/>
    <s v="Thiruvananthapuram"/>
    <s v="Kerala"/>
    <s v="Bangalore"/>
    <d v="2024-12-04T00:00:00"/>
    <n v="14"/>
    <s v="Standard"/>
    <s v="Delivered"/>
    <n v="0"/>
    <n v="1"/>
    <s v="No"/>
    <n v="0"/>
    <s v=""/>
    <m/>
    <s v="Not Applicable"/>
  </r>
  <r>
    <s v="UT-100196"/>
    <d v="2024-11-21T00:00:00"/>
    <x v="1"/>
    <n v="47"/>
    <s v="Thursday"/>
    <x v="7"/>
    <s v="Wednesday"/>
    <s v="CUST_10195"/>
    <x v="0"/>
    <s v="TOP-MTL-S"/>
    <s v="Tops"/>
    <s v="Metallic Top"/>
    <n v="1999"/>
    <n v="1"/>
    <n v="1999"/>
    <s v=""/>
    <n v="0"/>
    <n v="0"/>
    <n v="1999"/>
    <x v="0"/>
    <x v="0"/>
    <s v="Mysore"/>
    <s v="Karnataka"/>
    <s v="Bangalore"/>
    <d v="2024-12-05T00:00:00"/>
    <n v="14"/>
    <s v="Standard"/>
    <s v="Delivered"/>
    <n v="0"/>
    <n v="1"/>
    <s v="Yes"/>
    <n v="1"/>
    <s v="Size Issue"/>
    <d v="2025-01-03T00:00:00"/>
    <s v="Processed"/>
  </r>
  <r>
    <s v="UT-100197"/>
    <d v="2024-11-21T00:00:00"/>
    <x v="1"/>
    <n v="47"/>
    <s v="Thursday"/>
    <x v="7"/>
    <s v="Wednesday"/>
    <s v="CUST_10196"/>
    <x v="0"/>
    <s v="DRS-GLM-M"/>
    <s v="Dresses"/>
    <s v="Glamour Dress"/>
    <n v="3499"/>
    <n v="1"/>
    <n v="3499"/>
    <s v="Nov15"/>
    <n v="15"/>
    <n v="233.26666666666668"/>
    <n v="3265.7333333333331"/>
    <x v="2"/>
    <x v="1"/>
    <s v="Vadodara"/>
    <s v="Gujarat"/>
    <s v="Mumbai"/>
    <d v="2024-12-07T00:00:00"/>
    <n v="16"/>
    <s v="Slow"/>
    <s v="Delivered"/>
    <n v="0"/>
    <n v="1"/>
    <s v="Yes"/>
    <n v="1"/>
    <s v="Wrong Item"/>
    <d v="2025-01-05T00:00:00"/>
    <s v="Processed"/>
  </r>
  <r>
    <s v="UT-100198"/>
    <d v="2024-11-21T00:00:00"/>
    <x v="1"/>
    <n v="47"/>
    <s v="Thursday"/>
    <x v="7"/>
    <s v="Wednesday"/>
    <s v="CUST_10197"/>
    <x v="1"/>
    <s v="BOT-LME-L"/>
    <s v="Bottoms"/>
    <s v="Lame Pants"/>
    <n v="2599"/>
    <n v="1"/>
    <n v="2599"/>
    <s v=""/>
    <n v="0"/>
    <n v="0"/>
    <n v="2599"/>
    <x v="1"/>
    <x v="2"/>
    <s v="Rajkot"/>
    <s v="Gujarat"/>
    <s v="Mumbai"/>
    <d v="2024-12-05T00:00:00"/>
    <n v="14"/>
    <s v="Standard"/>
    <s v="Delivered"/>
    <n v="0"/>
    <n v="1"/>
    <s v="No"/>
    <n v="0"/>
    <s v=""/>
    <m/>
    <s v="Not Applicable"/>
  </r>
  <r>
    <s v="UT-100199"/>
    <d v="2024-11-22T00:00:00"/>
    <x v="1"/>
    <n v="47"/>
    <s v="Friday"/>
    <x v="7"/>
    <s v="Thursday"/>
    <s v="CUST_10198"/>
    <x v="0"/>
    <s v="OUT-SPK-M"/>
    <s v="Outerwear"/>
    <s v="Sparkle Jacket"/>
    <n v="5499"/>
    <n v="1"/>
    <n v="5499"/>
    <s v=""/>
    <n v="0"/>
    <n v="0"/>
    <n v="5499"/>
    <x v="4"/>
    <x v="0"/>
    <s v="Kanpur"/>
    <s v="Uttar Pradesh"/>
    <s v="Delhi"/>
    <d v="2024-12-08T00:00:00"/>
    <n v="16"/>
    <s v="Slow"/>
    <s v="Delivered"/>
    <n v="0"/>
    <n v="1"/>
    <s v="Yes"/>
    <n v="1"/>
    <s v="Changed Mind"/>
    <d v="2025-01-06T00:00:00"/>
    <s v="Processed"/>
  </r>
  <r>
    <s v="UT-100200"/>
    <d v="2024-11-22T00:00:00"/>
    <x v="1"/>
    <n v="47"/>
    <s v="Friday"/>
    <x v="7"/>
    <s v="Thursday"/>
    <s v="CUST_10199"/>
    <x v="0"/>
    <s v="ACC-CRY-OS"/>
    <s v="Accessories"/>
    <s v="Crystal Bracelet"/>
    <n v="999"/>
    <n v="1"/>
    <n v="999"/>
    <s v=""/>
    <n v="0"/>
    <n v="0"/>
    <n v="999"/>
    <x v="3"/>
    <x v="1"/>
    <s v="Mumbai"/>
    <s v="Maharashtra"/>
    <s v="Mumbai"/>
    <d v="2024-12-06T00:00:00"/>
    <n v="14"/>
    <s v="Standard"/>
    <s v="Delivered"/>
    <n v="0"/>
    <n v="1"/>
    <s v="No"/>
    <n v="0"/>
    <s v=""/>
    <m/>
    <s v="Not Applicable"/>
  </r>
  <r>
    <s v="UT-100201"/>
    <d v="2024-11-22T00:00:00"/>
    <x v="1"/>
    <n v="47"/>
    <s v="Friday"/>
    <x v="7"/>
    <s v="Thursday"/>
    <s v="CUST_10200"/>
    <x v="0"/>
    <s v="TOP-SHR-L"/>
    <s v="Tops"/>
    <s v="Sheer Top"/>
    <n v="1699"/>
    <n v="1"/>
    <n v="1699"/>
    <s v="Nov15"/>
    <n v="15"/>
    <n v="113.26666666666667"/>
    <n v="1585.7333333333333"/>
    <x v="0"/>
    <x v="2"/>
    <s v="Delhi"/>
    <s v="Delhi"/>
    <s v="Delhi"/>
    <d v="2024-12-07T00:00:00"/>
    <n v="15"/>
    <s v="Standard"/>
    <s v="Delivered"/>
    <n v="0"/>
    <n v="1"/>
    <s v="Yes"/>
    <n v="1"/>
    <s v="Damaged in Transit"/>
    <d v="2025-01-05T00:00:00"/>
    <s v="Processed"/>
  </r>
  <r>
    <s v="UT-100202"/>
    <d v="2024-11-23T00:00:00"/>
    <x v="1"/>
    <n v="47"/>
    <s v="Saturday"/>
    <x v="7"/>
    <s v="Friday"/>
    <s v="CUST_10201"/>
    <x v="0"/>
    <s v="DRS-CHF-S"/>
    <s v="Dresses"/>
    <s v="Chiffon Dress"/>
    <n v="2799"/>
    <n v="1"/>
    <n v="2799"/>
    <s v=""/>
    <n v="0"/>
    <n v="0"/>
    <n v="2799"/>
    <x v="1"/>
    <x v="0"/>
    <s v="Kolkata"/>
    <s v="West Bengal"/>
    <s v="Delhi"/>
    <d v="2024-12-09T00:00:00"/>
    <n v="16"/>
    <s v="Slow"/>
    <s v="Delivered"/>
    <n v="0"/>
    <n v="1"/>
    <s v="No"/>
    <n v="0"/>
    <s v=""/>
    <m/>
    <s v="Not Applicable"/>
  </r>
  <r>
    <s v="UT-100203"/>
    <d v="2024-11-23T00:00:00"/>
    <x v="1"/>
    <n v="47"/>
    <s v="Saturday"/>
    <x v="7"/>
    <s v="Friday"/>
    <s v="CUST_10202"/>
    <x v="1"/>
    <s v="BOT-ORG-M"/>
    <s v="Bottoms"/>
    <s v="Organza Pants"/>
    <n v="2399"/>
    <n v="1"/>
    <n v="2399"/>
    <s v=""/>
    <n v="0"/>
    <n v="0"/>
    <n v="2399"/>
    <x v="2"/>
    <x v="1"/>
    <s v="Chennai"/>
    <s v="Tamil Nadu"/>
    <s v="Bangalore"/>
    <d v="2024-12-07T00:00:00"/>
    <n v="14"/>
    <s v="Standard"/>
    <s v="Delivered"/>
    <n v="0"/>
    <n v="1"/>
    <s v="Yes"/>
    <n v="1"/>
    <s v="Quality Defect"/>
    <d v="2025-01-04T00:00:00"/>
    <s v="Processed"/>
  </r>
  <r>
    <s v="UT-100204"/>
    <d v="2024-11-23T00:00:00"/>
    <x v="1"/>
    <n v="47"/>
    <s v="Saturday"/>
    <x v="7"/>
    <s v="Friday"/>
    <s v="CUST_10203"/>
    <x v="0"/>
    <s v="OUT-MET-L"/>
    <s v="Outerwear"/>
    <s v="Metallic Coat"/>
    <n v="6799"/>
    <n v="1"/>
    <n v="6799"/>
    <s v=""/>
    <n v="0"/>
    <n v="0"/>
    <n v="6799"/>
    <x v="0"/>
    <x v="2"/>
    <s v="Hyderabad"/>
    <s v="Telangana"/>
    <s v="Bangalore"/>
    <d v="2024-12-10T00:00:00"/>
    <n v="17"/>
    <s v="Slow"/>
    <s v="Delivered"/>
    <n v="0"/>
    <n v="1"/>
    <s v="Yes"/>
    <n v="1"/>
    <s v="Size Issue"/>
    <d v="2025-01-08T00:00:00"/>
    <s v="Processed"/>
  </r>
  <r>
    <s v="UT-100205"/>
    <d v="2024-11-24T00:00:00"/>
    <x v="1"/>
    <n v="47"/>
    <s v="Sunday"/>
    <x v="7"/>
    <s v="Saturday"/>
    <s v="CUST_10204"/>
    <x v="0"/>
    <s v="ACC-DMD-OS"/>
    <s v="Accessories"/>
    <s v="Diamond Studs"/>
    <n v="1499"/>
    <n v="1"/>
    <n v="1499"/>
    <s v="Nov15"/>
    <n v="15"/>
    <n v="99.933333333333337"/>
    <n v="1399.0666666666666"/>
    <x v="4"/>
    <x v="0"/>
    <s v="Pune"/>
    <s v="Maharashtra"/>
    <s v="Mumbai"/>
    <d v="2024-12-08T00:00:00"/>
    <n v="14"/>
    <s v="Standard"/>
    <s v="Delivered"/>
    <n v="0"/>
    <n v="1"/>
    <s v="No"/>
    <n v="0"/>
    <s v=""/>
    <m/>
    <s v="Not Applicable"/>
  </r>
  <r>
    <s v="UT-100206"/>
    <d v="2024-11-24T00:00:00"/>
    <x v="1"/>
    <n v="47"/>
    <s v="Sunday"/>
    <x v="7"/>
    <s v="Saturday"/>
    <s v="CUST_10205"/>
    <x v="0"/>
    <s v="TOP-BDS-M"/>
    <s v="Tops"/>
    <s v="Beaded Top"/>
    <n v="2299"/>
    <n v="1"/>
    <n v="2299"/>
    <s v=""/>
    <n v="0"/>
    <n v="0"/>
    <n v="2299"/>
    <x v="3"/>
    <x v="1"/>
    <s v="Ahmedabad"/>
    <s v="Gujarat"/>
    <s v="Mumbai"/>
    <d v="2024-12-09T00:00:00"/>
    <n v="15"/>
    <s v="Standard"/>
    <s v="Delivered"/>
    <n v="0"/>
    <n v="1"/>
    <s v="Yes"/>
    <n v="1"/>
    <s v="Wrong Item"/>
    <d v="2025-01-07T00:00:00"/>
    <s v="Processed"/>
  </r>
  <r>
    <s v="UT-100207"/>
    <d v="2024-11-24T00:00:00"/>
    <x v="1"/>
    <n v="47"/>
    <s v="Sunday"/>
    <x v="7"/>
    <s v="Saturday"/>
    <s v="CUST_10206"/>
    <x v="0"/>
    <s v="DRS-SPL-L"/>
    <s v="Dresses"/>
    <s v="Sparkle Gown"/>
    <n v="4999"/>
    <n v="1"/>
    <n v="4999"/>
    <s v=""/>
    <n v="0"/>
    <n v="0"/>
    <n v="4999"/>
    <x v="1"/>
    <x v="2"/>
    <s v="Jaipur"/>
    <s v="Rajasthan"/>
    <s v="Delhi"/>
    <d v="2024-12-11T00:00:00"/>
    <n v="17"/>
    <s v="Slow"/>
    <s v="Delivered"/>
    <n v="0"/>
    <n v="1"/>
    <s v="No"/>
    <n v="0"/>
    <s v=""/>
    <m/>
    <s v="Not Applicable"/>
  </r>
  <r>
    <s v="UT-100208"/>
    <d v="2024-11-25T00:00:00"/>
    <x v="1"/>
    <n v="48"/>
    <s v="Monday"/>
    <x v="8"/>
    <s v="Sunday"/>
    <s v="CUST_10207"/>
    <x v="1"/>
    <s v="BOT-EMB-S"/>
    <s v="Bottoms"/>
    <s v="Embroidered Pants"/>
    <n v="2099"/>
    <n v="1"/>
    <n v="2099"/>
    <s v=""/>
    <n v="0"/>
    <n v="0"/>
    <n v="2099"/>
    <x v="0"/>
    <x v="0"/>
    <s v="Lucknow"/>
    <s v="Uttar Pradesh"/>
    <s v="Delhi"/>
    <d v="2024-12-09T00:00:00"/>
    <n v="14"/>
    <s v="Standard"/>
    <s v="Delivered"/>
    <n v="0"/>
    <n v="1"/>
    <s v="Yes"/>
    <n v="1"/>
    <s v="Changed Mind"/>
    <d v="2025-01-06T00:00:00"/>
    <s v="Processed"/>
  </r>
  <r>
    <s v="UT-100209"/>
    <d v="2024-11-25T00:00:00"/>
    <x v="1"/>
    <n v="48"/>
    <s v="Monday"/>
    <x v="8"/>
    <s v="Sunday"/>
    <s v="CUST_10208"/>
    <x v="0"/>
    <s v="OUT-NYE-M"/>
    <s v="Outerwear"/>
    <s v="NYE Jacket"/>
    <n v="5799"/>
    <n v="1"/>
    <n v="5799"/>
    <s v="Nov15"/>
    <n v="15"/>
    <n v="386.6"/>
    <n v="5412.4"/>
    <x v="2"/>
    <x v="1"/>
    <s v="Bangalore"/>
    <s v="Karnataka"/>
    <s v="Bangalore"/>
    <d v="2024-12-12T00:00:00"/>
    <n v="17"/>
    <s v="Slow"/>
    <s v="Delivered"/>
    <n v="0"/>
    <n v="1"/>
    <s v="Yes"/>
    <n v="1"/>
    <s v="Size Issue"/>
    <d v="2025-01-10T00:00:00"/>
    <s v="Processed"/>
  </r>
  <r>
    <s v="UT-100210"/>
    <d v="2024-11-25T00:00:00"/>
    <x v="1"/>
    <n v="48"/>
    <s v="Monday"/>
    <x v="8"/>
    <s v="Sunday"/>
    <s v="CUST_10209"/>
    <x v="0"/>
    <s v="ACC-GLD-OS"/>
    <s v="Accessories"/>
    <s v="Gold Cuff"/>
    <n v="1199"/>
    <n v="1"/>
    <n v="1199"/>
    <s v=""/>
    <n v="0"/>
    <n v="0"/>
    <n v="1199"/>
    <x v="1"/>
    <x v="2"/>
    <s v="Mumbai"/>
    <s v="Maharashtra"/>
    <s v="Mumbai"/>
    <d v="2024-12-10T00:00:00"/>
    <n v="15"/>
    <s v="Standard"/>
    <s v="Delivered"/>
    <n v="0"/>
    <n v="1"/>
    <s v="No"/>
    <n v="0"/>
    <s v=""/>
    <m/>
    <s v="Not Applicable"/>
  </r>
  <r>
    <s v="UT-100211"/>
    <d v="2024-11-26T00:00:00"/>
    <x v="1"/>
    <n v="48"/>
    <s v="Tuesday"/>
    <x v="8"/>
    <s v="Monday"/>
    <s v="CUST_10210"/>
    <x v="0"/>
    <s v="TOP-FTR-S"/>
    <s v="Tops"/>
    <s v="Feather Top"/>
    <n v="1899"/>
    <n v="1"/>
    <n v="1899"/>
    <s v=""/>
    <n v="0"/>
    <n v="0"/>
    <n v="1899"/>
    <x v="4"/>
    <x v="0"/>
    <s v="Delhi"/>
    <s v="Delhi"/>
    <s v="Delhi"/>
    <d v="2024-12-11T00:00:00"/>
    <n v="15"/>
    <s v="Standard"/>
    <s v="Delivered"/>
    <n v="0"/>
    <n v="1"/>
    <s v="Yes"/>
    <n v="1"/>
    <s v="Damaged in Transit"/>
    <d v="2025-01-08T00:00:00"/>
    <s v="Processed"/>
  </r>
  <r>
    <s v="UT-100212"/>
    <d v="2024-11-26T00:00:00"/>
    <x v="1"/>
    <n v="48"/>
    <s v="Tuesday"/>
    <x v="8"/>
    <s v="Monday"/>
    <s v="CUST_10211"/>
    <x v="0"/>
    <s v="DRS-CCK-M"/>
    <s v="Dresses"/>
    <s v="Cocktail Dress"/>
    <n v="3699"/>
    <n v="1"/>
    <n v="3699"/>
    <s v=""/>
    <n v="0"/>
    <n v="0"/>
    <n v="3699"/>
    <x v="3"/>
    <x v="1"/>
    <s v="Chandigarh"/>
    <s v="Punjab"/>
    <s v="Delhi"/>
    <d v="2024-12-13T00:00:00"/>
    <n v="17"/>
    <s v="Slow"/>
    <s v="Delivered"/>
    <n v="0"/>
    <n v="1"/>
    <s v="No"/>
    <n v="0"/>
    <s v=""/>
    <m/>
    <s v="Not Applicable"/>
  </r>
  <r>
    <s v="UT-100213"/>
    <d v="2024-11-26T00:00:00"/>
    <x v="1"/>
    <n v="48"/>
    <s v="Tuesday"/>
    <x v="8"/>
    <s v="Monday"/>
    <s v="CUST_10212"/>
    <x v="1"/>
    <s v="BOT-SQN-L"/>
    <s v="Bottoms"/>
    <s v="Sequin Skirt"/>
    <n v="2699"/>
    <n v="1"/>
    <n v="2699"/>
    <s v="Nov15"/>
    <n v="15"/>
    <n v="179.93333333333334"/>
    <n v="2519.0666666666666"/>
    <x v="0"/>
    <x v="2"/>
    <s v="Noida"/>
    <s v="Uttar Pradesh"/>
    <s v="Delhi"/>
    <d v="2024-12-11T00:00:00"/>
    <n v="15"/>
    <s v="Standard"/>
    <s v="Delivered"/>
    <n v="0"/>
    <n v="1"/>
    <s v="Yes"/>
    <n v="1"/>
    <s v="Quality Defect"/>
    <d v="2025-01-09T00:00:00"/>
    <s v="Processed"/>
  </r>
  <r>
    <s v="UT-100214"/>
    <d v="2024-11-27T00:00:00"/>
    <x v="1"/>
    <n v="48"/>
    <s v="Wednesday"/>
    <x v="8"/>
    <s v="Tuesday"/>
    <s v="CUST_10213"/>
    <x v="0"/>
    <s v="OUT-PRT-M"/>
    <s v="Outerwear"/>
    <s v="Party Jacket"/>
    <n v="4999"/>
    <n v="1"/>
    <n v="4999"/>
    <s v=""/>
    <n v="0"/>
    <n v="0"/>
    <n v="4999"/>
    <x v="1"/>
    <x v="0"/>
    <s v="Gurgaon"/>
    <s v="Haryana"/>
    <s v="Delhi"/>
    <d v="2024-12-14T00:00:00"/>
    <n v="17"/>
    <s v="Slow"/>
    <s v="Delivered"/>
    <n v="0"/>
    <n v="1"/>
    <s v="Yes"/>
    <n v="1"/>
    <s v="Size Issue"/>
    <d v="2025-01-12T00:00:00"/>
    <s v="Processed"/>
  </r>
  <r>
    <s v="UT-100215"/>
    <d v="2024-11-27T00:00:00"/>
    <x v="1"/>
    <n v="48"/>
    <s v="Wednesday"/>
    <x v="8"/>
    <s v="Tuesday"/>
    <s v="CUST_10214"/>
    <x v="0"/>
    <s v="ACC-SLV-OS"/>
    <s v="Accessories"/>
    <s v="Silver Bangle"/>
    <n v="899"/>
    <n v="2"/>
    <n v="1798"/>
    <s v=""/>
    <n v="0"/>
    <n v="0"/>
    <n v="1798"/>
    <x v="2"/>
    <x v="1"/>
    <s v="Indore"/>
    <s v="Madhya Pradesh"/>
    <s v="Mumbai"/>
    <d v="2024-12-12T00:00:00"/>
    <n v="15"/>
    <s v="Standard"/>
    <s v="Delivered"/>
    <n v="0"/>
    <n v="1"/>
    <s v="No"/>
    <n v="0"/>
    <s v=""/>
    <m/>
    <s v="Not Applicable"/>
  </r>
  <r>
    <s v="UT-100216"/>
    <d v="2024-11-27T00:00:00"/>
    <x v="1"/>
    <n v="48"/>
    <s v="Wednesday"/>
    <x v="8"/>
    <s v="Tuesday"/>
    <s v="CUST_10215"/>
    <x v="0"/>
    <s v="TOP-GLT-L"/>
    <s v="Tops"/>
    <s v="Glitter Tank"/>
    <n v="1599"/>
    <n v="1"/>
    <n v="1599"/>
    <s v=""/>
    <n v="0"/>
    <n v="0"/>
    <n v="1599"/>
    <x v="0"/>
    <x v="2"/>
    <s v="Surat"/>
    <s v="Gujarat"/>
    <s v="Mumbai"/>
    <d v="2024-12-13T00:00:00"/>
    <n v="16"/>
    <s v="Slow"/>
    <s v="Delivered"/>
    <n v="0"/>
    <n v="1"/>
    <s v="Yes"/>
    <n v="1"/>
    <s v="Wrong Item"/>
    <d v="2025-01-10T00:00:00"/>
    <s v="Processed"/>
  </r>
  <r>
    <s v="UT-100217"/>
    <d v="2024-11-28T00:00:00"/>
    <x v="1"/>
    <n v="48"/>
    <s v="Thursday"/>
    <x v="8"/>
    <s v="Wednesday"/>
    <s v="CUST_10216"/>
    <x v="0"/>
    <s v="DRS-STR-S"/>
    <s v="Dresses"/>
    <s v="Star Print Dress"/>
    <n v="2599"/>
    <n v="1"/>
    <n v="2599"/>
    <s v="Nov15"/>
    <n v="15"/>
    <n v="173.26666666666668"/>
    <n v="2425.7333333333331"/>
    <x v="4"/>
    <x v="0"/>
    <s v="Patna"/>
    <s v="Bihar"/>
    <s v="Delhi"/>
    <d v="2024-12-15T00:00:00"/>
    <n v="17"/>
    <s v="Slow"/>
    <s v="Delivered"/>
    <n v="0"/>
    <n v="1"/>
    <s v="No"/>
    <n v="0"/>
    <s v=""/>
    <m/>
    <s v="Not Applicable"/>
  </r>
  <r>
    <s v="UT-100218"/>
    <d v="2024-11-28T00:00:00"/>
    <x v="1"/>
    <n v="48"/>
    <s v="Thursday"/>
    <x v="8"/>
    <s v="Wednesday"/>
    <s v="CUST_10217"/>
    <x v="1"/>
    <s v="BOT-MTL-M"/>
    <s v="Bottoms"/>
    <s v="Metallic Pants"/>
    <n v="2399"/>
    <n v="1"/>
    <n v="2399"/>
    <s v=""/>
    <n v="0"/>
    <n v="0"/>
    <n v="2399"/>
    <x v="3"/>
    <x v="1"/>
    <s v="Bhopal"/>
    <s v="Madhya Pradesh"/>
    <s v="Mumbai"/>
    <d v="2024-12-13T00:00:00"/>
    <n v="15"/>
    <s v="Standard"/>
    <s v="Delivered"/>
    <n v="0"/>
    <n v="1"/>
    <s v="Yes"/>
    <n v="1"/>
    <s v="Changed Mind"/>
    <d v="2025-01-11T00:00:00"/>
    <s v="Processed"/>
  </r>
  <r>
    <s v="UT-100219"/>
    <d v="2024-11-28T00:00:00"/>
    <x v="1"/>
    <n v="48"/>
    <s v="Thursday"/>
    <x v="8"/>
    <s v="Wednesday"/>
    <s v="CUST_10218"/>
    <x v="0"/>
    <s v="OUT-FRM-L"/>
    <s v="Outerwear"/>
    <s v="Formal Coat"/>
    <n v="6499"/>
    <n v="1"/>
    <n v="6499"/>
    <s v=""/>
    <n v="0"/>
    <n v="0"/>
    <n v="6499"/>
    <x v="1"/>
    <x v="2"/>
    <s v="Nagpur"/>
    <s v="Maharashtra"/>
    <s v="Mumbai"/>
    <d v="2024-12-16T00:00:00"/>
    <n v="18"/>
    <s v="Slow"/>
    <s v="Delivered"/>
    <n v="0"/>
    <n v="1"/>
    <s v="Yes"/>
    <n v="1"/>
    <s v="Size Issue"/>
    <d v="2025-01-14T00:00:00"/>
    <s v="Processed"/>
  </r>
  <r>
    <s v="UT-100220"/>
    <d v="2024-11-29T00:00:00"/>
    <x v="1"/>
    <n v="48"/>
    <s v="Friday"/>
    <x v="8"/>
    <s v="Thursday"/>
    <s v="CUST_10219"/>
    <x v="0"/>
    <s v="ACC-RBN-OS"/>
    <s v="Accessories"/>
    <s v="Ribbon Choker"/>
    <n v="499"/>
    <n v="2"/>
    <n v="998"/>
    <s v=""/>
    <n v="0"/>
    <n v="0"/>
    <n v="998"/>
    <x v="0"/>
    <x v="0"/>
    <s v="Coimbatore"/>
    <s v="Tamil Nadu"/>
    <s v="Bangalore"/>
    <d v="2024-12-14T00:00:00"/>
    <n v="15"/>
    <s v="Standard"/>
    <s v="Delivered"/>
    <n v="0"/>
    <n v="1"/>
    <s v="No"/>
    <n v="0"/>
    <s v=""/>
    <m/>
    <s v="Not Applicable"/>
  </r>
  <r>
    <s v="UT-100221"/>
    <d v="2024-11-29T00:00:00"/>
    <x v="1"/>
    <n v="48"/>
    <s v="Friday"/>
    <x v="8"/>
    <s v="Thursday"/>
    <s v="CUST_10220"/>
    <x v="0"/>
    <s v="TOP-VNY-M"/>
    <s v="Tops"/>
    <s v="Vinyl Top"/>
    <n v="1999"/>
    <n v="1"/>
    <n v="1999"/>
    <s v=""/>
    <n v="0"/>
    <n v="0"/>
    <n v="1999"/>
    <x v="2"/>
    <x v="1"/>
    <s v="Kochi"/>
    <s v="Kerala"/>
    <s v="Bangalore"/>
    <m/>
    <n v="-45625"/>
    <s v="Fast"/>
    <s v="RTO"/>
    <n v="1"/>
    <n v="0"/>
    <s v="No"/>
    <n v="0"/>
    <s v=""/>
    <m/>
    <s v="Not Applicable"/>
  </r>
  <r>
    <s v="UT-100222"/>
    <d v="2024-11-29T00:00:00"/>
    <x v="1"/>
    <n v="48"/>
    <s v="Friday"/>
    <x v="8"/>
    <s v="Thursday"/>
    <s v="CUST_10221"/>
    <x v="0"/>
    <s v="DRS-NYE-L"/>
    <s v="Dresses"/>
    <s v="New Year Gown"/>
    <n v="5499"/>
    <n v="1"/>
    <n v="5499"/>
    <s v="Nov15"/>
    <n v="15"/>
    <n v="366.6"/>
    <n v="5132.3999999999996"/>
    <x v="1"/>
    <x v="2"/>
    <s v="Vizag"/>
    <s v="Andhra Pradesh"/>
    <s v="Bangalore"/>
    <d v="2024-12-17T00:00:00"/>
    <n v="18"/>
    <s v="Slow"/>
    <s v="Delivered"/>
    <n v="0"/>
    <n v="1"/>
    <s v="Yes"/>
    <n v="1"/>
    <s v="Quality Defect"/>
    <d v="2025-01-15T00:00:00"/>
    <s v="Processed"/>
  </r>
  <r>
    <s v="UT-100223"/>
    <d v="2024-11-30T00:00:00"/>
    <x v="1"/>
    <n v="48"/>
    <s v="Saturday"/>
    <x v="8"/>
    <s v="Friday"/>
    <s v="CUST_10222"/>
    <x v="1"/>
    <s v="BOT-LTX-S"/>
    <s v="Bottoms"/>
    <s v="Latex Pants"/>
    <n v="2799"/>
    <n v="1"/>
    <n v="2799"/>
    <s v=""/>
    <n v="0"/>
    <n v="0"/>
    <n v="2799"/>
    <x v="4"/>
    <x v="0"/>
    <s v="Thiruvananthapuram"/>
    <s v="Kerala"/>
    <s v="Bangalore"/>
    <d v="2024-12-15T00:00:00"/>
    <n v="15"/>
    <s v="Standard"/>
    <s v="Delivered"/>
    <n v="0"/>
    <n v="1"/>
    <s v="No"/>
    <n v="0"/>
    <s v=""/>
    <m/>
    <s v="Not Applicable"/>
  </r>
  <r>
    <s v="UT-100224"/>
    <d v="2024-11-30T00:00:00"/>
    <x v="1"/>
    <n v="48"/>
    <s v="Saturday"/>
    <x v="8"/>
    <s v="Friday"/>
    <s v="CUST_10223"/>
    <x v="0"/>
    <s v="OUT-GLM-M"/>
    <s v="Outerwear"/>
    <s v="Glam Jacket"/>
    <n v="5299"/>
    <n v="1"/>
    <n v="5299"/>
    <s v=""/>
    <n v="0"/>
    <n v="0"/>
    <n v="5299"/>
    <x v="3"/>
    <x v="1"/>
    <s v="Mysore"/>
    <s v="Karnataka"/>
    <s v="Bangalore"/>
    <d v="2024-12-18T00:00:00"/>
    <n v="18"/>
    <s v="Slow"/>
    <s v="Delivered"/>
    <n v="0"/>
    <n v="1"/>
    <s v="Yes"/>
    <n v="1"/>
    <s v="Damaged in Transit"/>
    <d v="2025-01-16T00:00:00"/>
    <s v="Processed"/>
  </r>
  <r>
    <s v="UT-100225"/>
    <d v="2024-11-30T00:00:00"/>
    <x v="1"/>
    <n v="48"/>
    <s v="Saturday"/>
    <x v="8"/>
    <s v="Friday"/>
    <s v="CUST_10224"/>
    <x v="0"/>
    <s v="ACC-GEM-OS"/>
    <s v="Accessories"/>
    <s v="Gemstone Ring"/>
    <n v="1099"/>
    <n v="1"/>
    <n v="1099"/>
    <s v=""/>
    <n v="0"/>
    <n v="0"/>
    <n v="1099"/>
    <x v="0"/>
    <x v="2"/>
    <s v="Vadodara"/>
    <s v="Gujarat"/>
    <s v="Mumbai"/>
    <d v="2024-12-16T00:00:00"/>
    <n v="16"/>
    <s v="Slow"/>
    <s v="Delivered"/>
    <n v="0"/>
    <n v="1"/>
    <s v="Yes"/>
    <n v="1"/>
    <s v="Size Issue"/>
    <d v="2025-01-14T00:00:00"/>
    <s v="Processed"/>
  </r>
  <r>
    <s v="UT-100226"/>
    <d v="2024-12-01T00:00:00"/>
    <x v="2"/>
    <n v="48"/>
    <s v="Sunday"/>
    <x v="8"/>
    <s v="Saturday"/>
    <s v="CUST_10225"/>
    <x v="0"/>
    <s v="TOP-HOD-L"/>
    <s v="Tops"/>
    <s v="Zip Hoodie"/>
    <n v="2499"/>
    <n v="1"/>
    <n v="2499"/>
    <s v="Dec20"/>
    <n v="20"/>
    <n v="124.95"/>
    <n v="2374.0500000000002"/>
    <x v="1"/>
    <x v="0"/>
    <s v="Mumbai"/>
    <s v="Maharashtra"/>
    <s v="Mumbai"/>
    <d v="2024-12-06T00:00:00"/>
    <n v="5"/>
    <s v="Fast"/>
    <s v="Delivered"/>
    <n v="0"/>
    <n v="1"/>
    <s v="No"/>
    <n v="0"/>
    <s v=""/>
    <m/>
    <s v="Not Applicable"/>
  </r>
  <r>
    <s v="UT-100227"/>
    <d v="2024-12-01T00:00:00"/>
    <x v="2"/>
    <n v="48"/>
    <s v="Sunday"/>
    <x v="8"/>
    <s v="Saturday"/>
    <s v="CUST_10226"/>
    <x v="0"/>
    <s v="OUT-COT-M"/>
    <s v="Outerwear"/>
    <s v="Puffer Coat"/>
    <n v="6499"/>
    <n v="1"/>
    <n v="6499"/>
    <s v="Dec20"/>
    <n v="20"/>
    <n v="324.95"/>
    <n v="6174.05"/>
    <x v="2"/>
    <x v="1"/>
    <s v="Delhi"/>
    <s v="Delhi"/>
    <s v="Delhi"/>
    <d v="2024-12-08T00:00:00"/>
    <n v="7"/>
    <s v="Fast"/>
    <s v="Delivered"/>
    <n v="0"/>
    <n v="1"/>
    <s v="Yes"/>
    <n v="1"/>
    <s v="Changed Mind"/>
    <d v="2024-12-28T00:00:00"/>
    <s v="Pending"/>
  </r>
  <r>
    <s v="UT-100228"/>
    <d v="2024-12-01T00:00:00"/>
    <x v="2"/>
    <n v="48"/>
    <s v="Sunday"/>
    <x v="8"/>
    <s v="Saturday"/>
    <s v="CUST_10227"/>
    <x v="1"/>
    <s v="ACC-MFL-OS"/>
    <s v="Accessories"/>
    <s v="Cashmere Scarf"/>
    <n v="1499"/>
    <n v="1"/>
    <n v="1499"/>
    <s v=""/>
    <n v="0"/>
    <n v="0"/>
    <n v="1499"/>
    <x v="0"/>
    <x v="2"/>
    <s v="Chandigarh"/>
    <s v="Punjab"/>
    <s v="Delhi"/>
    <d v="2024-12-07T00:00:00"/>
    <n v="6"/>
    <s v="Fast"/>
    <s v="Delivered"/>
    <n v="0"/>
    <n v="1"/>
    <s v="No"/>
    <n v="0"/>
    <s v=""/>
    <m/>
    <s v="Not Applicable"/>
  </r>
  <r>
    <s v="UT-100229"/>
    <d v="2024-12-01T00:00:00"/>
    <x v="2"/>
    <n v="48"/>
    <s v="Sunday"/>
    <x v="8"/>
    <s v="Saturday"/>
    <s v="CUST_10228"/>
    <x v="0"/>
    <s v="DRS-PLT-M"/>
    <s v="Dresses"/>
    <s v="Pleated Dress"/>
    <n v="2899"/>
    <n v="1"/>
    <n v="2899"/>
    <s v="Dec20"/>
    <n v="20"/>
    <n v="144.94999999999999"/>
    <n v="2754.05"/>
    <x v="3"/>
    <x v="0"/>
    <s v="Amritsar"/>
    <s v="Punjab"/>
    <s v="Delhi"/>
    <d v="2024-12-09T00:00:00"/>
    <n v="8"/>
    <s v="Standard"/>
    <s v="Delivered"/>
    <n v="0"/>
    <n v="1"/>
    <s v="Yes"/>
    <n v="1"/>
    <s v="Size Issue"/>
    <d v="2024-12-30T00:00:00"/>
    <s v="Processed"/>
  </r>
  <r>
    <s v="UT-100230"/>
    <d v="2024-12-02T00:00:00"/>
    <x v="2"/>
    <n v="49"/>
    <s v="Monday"/>
    <x v="9"/>
    <s v="Sunday"/>
    <s v="CUST_10229"/>
    <x v="0"/>
    <s v="TOP-THR-L"/>
    <s v="Tops"/>
    <s v="Thermal Top"/>
    <n v="1599"/>
    <n v="2"/>
    <n v="3198"/>
    <s v=""/>
    <n v="0"/>
    <n v="0"/>
    <n v="3198"/>
    <x v="1"/>
    <x v="1"/>
    <s v="Shimla"/>
    <s v="Himachal Pradesh"/>
    <s v="Delhi"/>
    <d v="2024-12-09T00:00:00"/>
    <n v="7"/>
    <s v="Fast"/>
    <s v="Delivered"/>
    <n v="0"/>
    <n v="1"/>
    <s v="No"/>
    <n v="0"/>
    <s v=""/>
    <m/>
    <s v="Not Applicable"/>
  </r>
  <r>
    <s v="UT-100231"/>
    <d v="2024-12-02T00:00:00"/>
    <x v="2"/>
    <n v="49"/>
    <s v="Monday"/>
    <x v="9"/>
    <s v="Sunday"/>
    <s v="CUST_10230"/>
    <x v="0"/>
    <s v="BOT-FLC-M"/>
    <s v="Bottoms"/>
    <s v="Fleece Joggers"/>
    <n v="1799"/>
    <n v="1"/>
    <n v="1799"/>
    <s v="Dec20"/>
    <n v="20"/>
    <n v="89.95"/>
    <n v="1709.05"/>
    <x v="4"/>
    <x v="2"/>
    <s v="Dehradun"/>
    <s v="Uttarakhand"/>
    <s v="Delhi"/>
    <d v="2024-12-10T00:00:00"/>
    <n v="8"/>
    <s v="Standard"/>
    <s v="Delivered"/>
    <n v="0"/>
    <n v="1"/>
    <s v="No"/>
    <n v="0"/>
    <s v=""/>
    <m/>
    <s v="Not Applicable"/>
  </r>
  <r>
    <s v="UT-100232"/>
    <d v="2024-12-02T00:00:00"/>
    <x v="2"/>
    <n v="49"/>
    <s v="Monday"/>
    <x v="9"/>
    <s v="Sunday"/>
    <s v="CUST_10231"/>
    <x v="0"/>
    <s v="OUT-WND-L"/>
    <s v="Outerwear"/>
    <s v="Windbreaker"/>
    <n v="3299"/>
    <n v="1"/>
    <n v="3299"/>
    <s v=""/>
    <n v="0"/>
    <n v="0"/>
    <n v="3299"/>
    <x v="0"/>
    <x v="0"/>
    <s v="Srinagar"/>
    <s v="Jammu &amp; Kashmir"/>
    <s v="Delhi"/>
    <d v="2024-12-11T00:00:00"/>
    <n v="9"/>
    <s v="Standard"/>
    <s v="Delivered"/>
    <n v="0"/>
    <n v="1"/>
    <s v="Yes"/>
    <n v="1"/>
    <s v="Wrong Item"/>
    <d v="2025-01-02T00:00:00"/>
    <s v="Pending"/>
  </r>
  <r>
    <s v="UT-100233"/>
    <d v="2024-12-02T00:00:00"/>
    <x v="2"/>
    <n v="49"/>
    <s v="Monday"/>
    <x v="9"/>
    <s v="Sunday"/>
    <s v="CUST_10232"/>
    <x v="1"/>
    <s v="ACC-BNE-OS"/>
    <s v="Accessories"/>
    <s v="Beanie Cap"/>
    <n v="599"/>
    <n v="2"/>
    <n v="1198"/>
    <s v="Dec20"/>
    <n v="20"/>
    <n v="59.9"/>
    <n v="1138.0999999999999"/>
    <x v="2"/>
    <x v="1"/>
    <s v="Manali"/>
    <s v="Himachal Pradesh"/>
    <s v="Delhi"/>
    <d v="2024-12-10T00:00:00"/>
    <n v="8"/>
    <s v="Standard"/>
    <s v="Delivered"/>
    <n v="0"/>
    <n v="1"/>
    <s v="No"/>
    <n v="0"/>
    <s v=""/>
    <m/>
    <s v="Not Applicable"/>
  </r>
  <r>
    <s v="UT-100234"/>
    <d v="2024-12-03T00:00:00"/>
    <x v="2"/>
    <n v="49"/>
    <s v="Tuesday"/>
    <x v="9"/>
    <s v="Monday"/>
    <s v="CUST_10233"/>
    <x v="0"/>
    <s v="TOP-SWT-S"/>
    <s v="Tops"/>
    <s v="Cropped Sweater"/>
    <n v="2199"/>
    <n v="1"/>
    <n v="2199"/>
    <s v=""/>
    <n v="0"/>
    <n v="0"/>
    <n v="2199"/>
    <x v="3"/>
    <x v="2"/>
    <s v="Darjeeling"/>
    <s v="West Bengal"/>
    <s v="Delhi"/>
    <d v="2024-12-12T00:00:00"/>
    <n v="9"/>
    <s v="Standard"/>
    <s v="Delivered"/>
    <n v="0"/>
    <n v="1"/>
    <s v="Yes"/>
    <n v="1"/>
    <s v="Size Issue"/>
    <d v="2025-01-03T00:00:00"/>
    <s v="Processed"/>
  </r>
  <r>
    <s v="UT-100235"/>
    <d v="2024-12-03T00:00:00"/>
    <x v="2"/>
    <n v="49"/>
    <s v="Tuesday"/>
    <x v="9"/>
    <s v="Monday"/>
    <s v="CUST_10234"/>
    <x v="0"/>
    <s v="DRS-WRM-M"/>
    <s v="Dresses"/>
    <s v="Wrap Dress"/>
    <n v="2499"/>
    <n v="1"/>
    <n v="2499"/>
    <s v="Dec20"/>
    <n v="20"/>
    <n v="124.95"/>
    <n v="2374.0500000000002"/>
    <x v="1"/>
    <x v="0"/>
    <s v="Gangtok"/>
    <s v="Sikkim"/>
    <s v="Delhi"/>
    <d v="2024-12-12T00:00:00"/>
    <n v="9"/>
    <s v="Standard"/>
    <s v="Delivered"/>
    <n v="0"/>
    <n v="1"/>
    <s v="No"/>
    <n v="0"/>
    <s v=""/>
    <m/>
    <s v="Not Applicable"/>
  </r>
  <r>
    <s v="UT-100236"/>
    <d v="2024-12-03T00:00:00"/>
    <x v="2"/>
    <n v="49"/>
    <s v="Tuesday"/>
    <x v="9"/>
    <s v="Monday"/>
    <s v="CUST_10235"/>
    <x v="0"/>
    <s v="BOT-WOL-L"/>
    <s v="Bottoms"/>
    <s v="Wool Trousers"/>
    <n v="2999"/>
    <n v="1"/>
    <n v="2999"/>
    <s v=""/>
    <n v="0"/>
    <n v="0"/>
    <n v="2999"/>
    <x v="0"/>
    <x v="1"/>
    <s v="Shillong"/>
    <s v="Meghalaya"/>
    <s v="Delhi"/>
    <d v="2024-12-14T00:00:00"/>
    <n v="11"/>
    <s v="Standard"/>
    <s v="Delivered"/>
    <n v="0"/>
    <n v="1"/>
    <s v="Yes"/>
    <n v="1"/>
    <s v="Quality Defect"/>
    <d v="2025-01-05T00:00:00"/>
    <s v="Processed"/>
  </r>
  <r>
    <s v="UT-100237"/>
    <d v="2024-12-03T00:00:00"/>
    <x v="2"/>
    <n v="49"/>
    <s v="Tuesday"/>
    <x v="9"/>
    <s v="Monday"/>
    <s v="CUST_10236"/>
    <x v="0"/>
    <s v="OUT-DWN-M"/>
    <s v="Outerwear"/>
    <s v="Down Jacket"/>
    <n v="7999"/>
    <n v="1"/>
    <n v="7999"/>
    <s v="Dec20"/>
    <n v="20"/>
    <n v="399.95"/>
    <n v="7599.05"/>
    <x v="4"/>
    <x v="2"/>
    <s v="Leh"/>
    <s v="Ladakh"/>
    <s v="Delhi"/>
    <d v="2024-12-14T00:00:00"/>
    <n v="11"/>
    <s v="Standard"/>
    <s v="Delivered"/>
    <n v="0"/>
    <n v="1"/>
    <s v="No"/>
    <n v="0"/>
    <s v=""/>
    <m/>
    <s v="Not Applicable"/>
  </r>
  <r>
    <s v="UT-100238"/>
    <d v="2024-12-04T00:00:00"/>
    <x v="2"/>
    <n v="49"/>
    <s v="Wednesday"/>
    <x v="9"/>
    <s v="Tuesday"/>
    <s v="CUST_10237"/>
    <x v="1"/>
    <s v="TOP-VLV-S"/>
    <s v="Tops"/>
    <s v="Velvet Top"/>
    <n v="1999"/>
    <n v="1"/>
    <n v="1999"/>
    <s v=""/>
    <n v="0"/>
    <n v="0"/>
    <n v="1999"/>
    <x v="1"/>
    <x v="0"/>
    <s v="Ooty"/>
    <s v="Tamil Nadu"/>
    <s v="Bangalore"/>
    <d v="2024-12-13T00:00:00"/>
    <n v="9"/>
    <s v="Standard"/>
    <s v="Delivered"/>
    <n v="0"/>
    <n v="1"/>
    <s v="No"/>
    <n v="0"/>
    <s v=""/>
    <m/>
    <s v="Not Applicable"/>
  </r>
  <r>
    <s v="UT-100239"/>
    <d v="2024-12-04T00:00:00"/>
    <x v="2"/>
    <n v="49"/>
    <s v="Wednesday"/>
    <x v="9"/>
    <s v="Tuesday"/>
    <s v="CUST_10238"/>
    <x v="0"/>
    <s v="ACC-ERM-OS"/>
    <s v="Accessories"/>
    <s v="Ear Muffs"/>
    <n v="499"/>
    <n v="2"/>
    <n v="998"/>
    <s v="Dec20"/>
    <n v="20"/>
    <n v="49.9"/>
    <n v="948.1"/>
    <x v="2"/>
    <x v="1"/>
    <s v="Munnar"/>
    <s v="Kerala"/>
    <s v="Bangalore"/>
    <d v="2024-12-13T00:00:00"/>
    <n v="9"/>
    <s v="Standard"/>
    <s v="Delivered"/>
    <n v="0"/>
    <n v="1"/>
    <s v="No"/>
    <n v="0"/>
    <s v=""/>
    <m/>
    <s v="Not Applicable"/>
  </r>
  <r>
    <s v="UT-100240"/>
    <d v="2024-12-04T00:00:00"/>
    <x v="2"/>
    <n v="49"/>
    <s v="Wednesday"/>
    <x v="9"/>
    <s v="Tuesday"/>
    <s v="CUST_10239"/>
    <x v="0"/>
    <s v="DRS-NYE-S"/>
    <s v="Dresses"/>
    <s v="Sequin Party Dress"/>
    <n v="4999"/>
    <n v="1"/>
    <n v="4999"/>
    <s v=""/>
    <n v="0"/>
    <n v="0"/>
    <n v="4999"/>
    <x v="3"/>
    <x v="2"/>
    <s v="Goa"/>
    <s v="Goa"/>
    <s v="Mumbai"/>
    <d v="2024-12-14T00:00:00"/>
    <n v="10"/>
    <s v="Standard"/>
    <s v="Delivered"/>
    <n v="0"/>
    <n v="1"/>
    <s v="Yes"/>
    <n v="1"/>
    <s v="Size Issue"/>
    <d v="2025-01-06T00:00:00"/>
    <s v="Processed"/>
  </r>
  <r>
    <s v="UT-100241"/>
    <d v="2024-12-04T00:00:00"/>
    <x v="2"/>
    <n v="49"/>
    <s v="Wednesday"/>
    <x v="9"/>
    <s v="Tuesday"/>
    <s v="CUST_10240"/>
    <x v="0"/>
    <s v="TOP-SPK-M"/>
    <s v="Tops"/>
    <s v="Sparkle Top"/>
    <n v="2299"/>
    <n v="1"/>
    <n v="2299"/>
    <s v="Dec20"/>
    <n v="20"/>
    <n v="114.95"/>
    <n v="2184.0500000000002"/>
    <x v="0"/>
    <x v="0"/>
    <s v="Mumbai"/>
    <s v="Maharashtra"/>
    <s v="Mumbai"/>
    <d v="2024-12-13T00:00:00"/>
    <n v="9"/>
    <s v="Standard"/>
    <s v="Delivered"/>
    <n v="0"/>
    <n v="1"/>
    <s v="No"/>
    <n v="0"/>
    <s v=""/>
    <m/>
    <s v="Not Applicable"/>
  </r>
  <r>
    <s v="UT-100242"/>
    <d v="2024-12-05T00:00:00"/>
    <x v="2"/>
    <n v="49"/>
    <s v="Thursday"/>
    <x v="9"/>
    <s v="Wednesday"/>
    <s v="CUST_10241"/>
    <x v="0"/>
    <s v="BOT-VLV-S"/>
    <s v="Bottoms"/>
    <s v="Velvet Pants"/>
    <n v="2599"/>
    <n v="1"/>
    <n v="2599"/>
    <s v=""/>
    <n v="0"/>
    <n v="0"/>
    <n v="2599"/>
    <x v="1"/>
    <x v="1"/>
    <s v="Bangalore"/>
    <s v="Karnataka"/>
    <s v="Bangalore"/>
    <d v="2024-12-15T00:00:00"/>
    <n v="10"/>
    <s v="Standard"/>
    <s v="Delivered"/>
    <n v="0"/>
    <n v="1"/>
    <s v="Yes"/>
    <n v="1"/>
    <s v="Changed Mind"/>
    <d v="2025-01-08T00:00:00"/>
    <s v="Processed"/>
  </r>
  <r>
    <s v="UT-100243"/>
    <d v="2024-12-05T00:00:00"/>
    <x v="2"/>
    <n v="49"/>
    <s v="Thursday"/>
    <x v="9"/>
    <s v="Wednesday"/>
    <s v="CUST_10242"/>
    <x v="1"/>
    <s v="OUT-FUR-L"/>
    <s v="Outerwear"/>
    <s v="Faux Fur Coat"/>
    <n v="8999"/>
    <n v="1"/>
    <n v="8999"/>
    <s v="Dec20"/>
    <n v="20"/>
    <n v="449.95"/>
    <n v="8549.0499999999993"/>
    <x v="4"/>
    <x v="2"/>
    <s v="Delhi"/>
    <s v="Delhi"/>
    <s v="Delhi"/>
    <d v="2024-12-17T00:00:00"/>
    <n v="12"/>
    <s v="Standard"/>
    <s v="Delivered"/>
    <n v="0"/>
    <n v="1"/>
    <s v="Yes"/>
    <n v="1"/>
    <s v="Size Issue"/>
    <d v="2025-01-10T00:00:00"/>
    <s v="Pending"/>
  </r>
  <r>
    <s v="UT-100244"/>
    <d v="2024-12-05T00:00:00"/>
    <x v="2"/>
    <n v="49"/>
    <s v="Thursday"/>
    <x v="9"/>
    <s v="Wednesday"/>
    <s v="CUST_10243"/>
    <x v="0"/>
    <s v="ACC-CLT-OS"/>
    <s v="Accessories"/>
    <s v="Evening Clutch"/>
    <n v="1799"/>
    <n v="1"/>
    <n v="1799"/>
    <s v=""/>
    <n v="0"/>
    <n v="0"/>
    <n v="1799"/>
    <x v="0"/>
    <x v="0"/>
    <s v="Hyderabad"/>
    <s v="Telangana"/>
    <s v="Bangalore"/>
    <d v="2024-12-16T00:00:00"/>
    <n v="11"/>
    <s v="Standard"/>
    <s v="Delivered"/>
    <n v="0"/>
    <n v="1"/>
    <s v="No"/>
    <n v="0"/>
    <s v=""/>
    <m/>
    <s v="Not Applicable"/>
  </r>
  <r>
    <s v="UT-100245"/>
    <d v="2024-12-05T00:00:00"/>
    <x v="2"/>
    <n v="49"/>
    <s v="Thursday"/>
    <x v="9"/>
    <s v="Wednesday"/>
    <s v="CUST_10244"/>
    <x v="0"/>
    <s v="TOP-MET-S"/>
    <s v="Tops"/>
    <s v="Metallic Blouse"/>
    <n v="2199"/>
    <n v="1"/>
    <n v="2199"/>
    <s v=""/>
    <n v="0"/>
    <n v="0"/>
    <n v="2199"/>
    <x v="3"/>
    <x v="1"/>
    <s v="Chennai"/>
    <s v="Tamil Nadu"/>
    <s v="Bangalore"/>
    <d v="2024-12-16T00:00:00"/>
    <n v="11"/>
    <s v="Standard"/>
    <s v="Delivered"/>
    <n v="0"/>
    <n v="1"/>
    <s v="No"/>
    <n v="0"/>
    <s v=""/>
    <m/>
    <s v="Not Applicable"/>
  </r>
  <r>
    <s v="UT-100246"/>
    <d v="2024-12-06T00:00:00"/>
    <x v="2"/>
    <n v="49"/>
    <s v="Friday"/>
    <x v="9"/>
    <s v="Thursday"/>
    <s v="CUST_10245"/>
    <x v="0"/>
    <s v="DRS-GLT-M"/>
    <s v="Dresses"/>
    <s v="Glitter Dress"/>
    <n v="3799"/>
    <n v="1"/>
    <n v="3799"/>
    <s v="Dec20"/>
    <n v="20"/>
    <n v="189.95"/>
    <n v="3609.05"/>
    <x v="2"/>
    <x v="2"/>
    <s v="Pune"/>
    <s v="Maharashtra"/>
    <s v="Mumbai"/>
    <d v="2024-12-18T00:00:00"/>
    <n v="12"/>
    <s v="Standard"/>
    <s v="Delivered"/>
    <n v="0"/>
    <n v="1"/>
    <s v="Yes"/>
    <n v="1"/>
    <s v="Quality Defect"/>
    <d v="2025-01-12T00:00:00"/>
    <s v="Processed"/>
  </r>
  <r>
    <s v="UT-100247"/>
    <d v="2024-12-06T00:00:00"/>
    <x v="2"/>
    <n v="49"/>
    <s v="Friday"/>
    <x v="9"/>
    <s v="Thursday"/>
    <s v="CUST_10246"/>
    <x v="0"/>
    <s v="BOT-SLK-S"/>
    <s v="Bottoms"/>
    <s v="Silk Trousers"/>
    <n v="2899"/>
    <n v="1"/>
    <n v="2899"/>
    <s v=""/>
    <n v="0"/>
    <n v="0"/>
    <n v="2899"/>
    <x v="1"/>
    <x v="0"/>
    <s v="Kolkata"/>
    <s v="West Bengal"/>
    <s v="Delhi"/>
    <d v="2024-12-18T00:00:00"/>
    <n v="12"/>
    <s v="Standard"/>
    <s v="Delivered"/>
    <n v="0"/>
    <n v="1"/>
    <s v="No"/>
    <n v="0"/>
    <s v=""/>
    <m/>
    <s v="Not Applicable"/>
  </r>
  <r>
    <s v="UT-100248"/>
    <d v="2024-12-06T00:00:00"/>
    <x v="2"/>
    <n v="49"/>
    <s v="Friday"/>
    <x v="9"/>
    <s v="Thursday"/>
    <s v="CUST_10247"/>
    <x v="1"/>
    <s v="OUT-CPE-M"/>
    <s v="Outerwear"/>
    <s v="Velvet Cape"/>
    <n v="4599"/>
    <n v="1"/>
    <n v="4599"/>
    <s v="Dec20"/>
    <n v="20"/>
    <n v="229.95"/>
    <n v="4369.05"/>
    <x v="0"/>
    <x v="1"/>
    <s v="Jaipur"/>
    <s v="Rajasthan"/>
    <s v="Delhi"/>
    <d v="2024-12-19T00:00:00"/>
    <n v="13"/>
    <s v="Standard"/>
    <s v="Delivered"/>
    <n v="0"/>
    <n v="1"/>
    <s v="Yes"/>
    <n v="1"/>
    <s v="Size Issue"/>
    <d v="2025-01-14T00:00:00"/>
    <s v="Processed"/>
  </r>
  <r>
    <s v="UT-100249"/>
    <d v="2024-12-06T00:00:00"/>
    <x v="2"/>
    <n v="49"/>
    <s v="Friday"/>
    <x v="9"/>
    <s v="Thursday"/>
    <s v="CUST_10248"/>
    <x v="0"/>
    <s v="ACC-HDB-OS"/>
    <s v="Accessories"/>
    <s v="Embellished Handbag"/>
    <n v="2499"/>
    <n v="1"/>
    <n v="2499"/>
    <s v=""/>
    <n v="0"/>
    <n v="0"/>
    <n v="2499"/>
    <x v="4"/>
    <x v="2"/>
    <s v="Lucknow"/>
    <s v="Uttar Pradesh"/>
    <s v="Delhi"/>
    <d v="2024-12-19T00:00:00"/>
    <n v="13"/>
    <s v="Standard"/>
    <s v="Delivered"/>
    <n v="0"/>
    <n v="1"/>
    <s v="No"/>
    <n v="0"/>
    <s v=""/>
    <m/>
    <s v="Not Applicable"/>
  </r>
  <r>
    <s v="UT-100250"/>
    <d v="2024-12-07T00:00:00"/>
    <x v="2"/>
    <n v="49"/>
    <s v="Saturday"/>
    <x v="9"/>
    <s v="Friday"/>
    <s v="CUST_10249"/>
    <x v="0"/>
    <s v="TOP-NYE-XS"/>
    <s v="Tops"/>
    <s v="Party Bodysuit"/>
    <n v="1899"/>
    <n v="1"/>
    <n v="1899"/>
    <s v=""/>
    <n v="0"/>
    <n v="0"/>
    <n v="1899"/>
    <x v="3"/>
    <x v="0"/>
    <s v="Goa"/>
    <s v="Goa"/>
    <s v="Mumbai"/>
    <m/>
    <n v="-45633"/>
    <s v="Fast"/>
    <s v="RTO"/>
    <n v="1"/>
    <n v="0"/>
    <s v="No"/>
    <n v="0"/>
    <s v=""/>
    <m/>
    <s v="Not Applicable"/>
  </r>
  <r>
    <s v="UT-100251"/>
    <d v="2024-12-07T00:00:00"/>
    <x v="2"/>
    <n v="49"/>
    <s v="Saturday"/>
    <x v="9"/>
    <s v="Friday"/>
    <s v="CUST_10250"/>
    <x v="0"/>
    <s v="DRS-CCT-S"/>
    <s v="Dresses"/>
    <s v="Cocktail Dress"/>
    <n v="3299"/>
    <n v="1"/>
    <n v="3299"/>
    <s v="Dec20"/>
    <n v="20"/>
    <n v="164.95"/>
    <n v="3134.05"/>
    <x v="1"/>
    <x v="1"/>
    <s v="Mumbai"/>
    <s v="Maharashtra"/>
    <s v="Mumbai"/>
    <d v="2024-12-20T00:00:00"/>
    <n v="13"/>
    <s v="Standard"/>
    <s v="Delivered"/>
    <n v="0"/>
    <n v="1"/>
    <s v="No"/>
    <n v="0"/>
    <s v=""/>
    <m/>
    <s v="Not Applicable"/>
  </r>
  <r>
    <s v="UT-100252"/>
    <d v="2024-12-07T00:00:00"/>
    <x v="2"/>
    <n v="49"/>
    <s v="Saturday"/>
    <x v="9"/>
    <s v="Friday"/>
    <s v="CUST_10251"/>
    <x v="0"/>
    <s v="BOT-SQN-M"/>
    <s v="Bottoms"/>
    <s v="Sequin Skirt"/>
    <n v="2199"/>
    <n v="1"/>
    <n v="2199"/>
    <s v=""/>
    <n v="0"/>
    <n v="0"/>
    <n v="2199"/>
    <x v="2"/>
    <x v="2"/>
    <s v="Delhi"/>
    <s v="Delhi"/>
    <s v="Delhi"/>
    <d v="2024-12-21T00:00:00"/>
    <n v="14"/>
    <s v="Standard"/>
    <s v="Delivered"/>
    <n v="0"/>
    <n v="1"/>
    <s v="Yes"/>
    <n v="1"/>
    <s v="Damaged in Transit"/>
    <d v="2025-01-15T00:00:00"/>
    <s v="Pending"/>
  </r>
  <r>
    <s v="UT-100253"/>
    <d v="2024-12-07T00:00:00"/>
    <x v="2"/>
    <n v="49"/>
    <s v="Saturday"/>
    <x v="9"/>
    <s v="Friday"/>
    <s v="CUST_10252"/>
    <x v="1"/>
    <s v="OUT-BLZ-S"/>
    <s v="Outerwear"/>
    <s v="Tuxedo Blazer"/>
    <n v="5499"/>
    <n v="1"/>
    <n v="5499"/>
    <s v="Dec20"/>
    <n v="20"/>
    <n v="274.95"/>
    <n v="5224.05"/>
    <x v="0"/>
    <x v="0"/>
    <s v="Bangalore"/>
    <s v="Karnataka"/>
    <s v="Bangalore"/>
    <d v="2024-12-21T00:00:00"/>
    <n v="14"/>
    <s v="Standard"/>
    <s v="Delivered"/>
    <n v="0"/>
    <n v="1"/>
    <s v="No"/>
    <n v="0"/>
    <s v=""/>
    <m/>
    <s v="Not Applicable"/>
  </r>
  <r>
    <s v="UT-100254"/>
    <d v="2024-12-08T00:00:00"/>
    <x v="2"/>
    <n v="49"/>
    <s v="Sunday"/>
    <x v="9"/>
    <s v="Saturday"/>
    <s v="CUST_10253"/>
    <x v="0"/>
    <s v="ACC-TRA-OS"/>
    <s v="Accessories"/>
    <s v="Tiara Headband"/>
    <n v="999"/>
    <n v="1"/>
    <n v="999"/>
    <s v=""/>
    <n v="0"/>
    <n v="0"/>
    <n v="999"/>
    <x v="4"/>
    <x v="1"/>
    <s v="Ahmedabad"/>
    <s v="Gujarat"/>
    <s v="Mumbai"/>
    <d v="2024-12-22T00:00:00"/>
    <n v="14"/>
    <s v="Standard"/>
    <s v="Delivered"/>
    <n v="0"/>
    <n v="1"/>
    <s v="No"/>
    <n v="0"/>
    <s v=""/>
    <m/>
    <s v="Not Applicable"/>
  </r>
  <r>
    <s v="UT-100255"/>
    <d v="2024-12-08T00:00:00"/>
    <x v="2"/>
    <n v="49"/>
    <s v="Sunday"/>
    <x v="9"/>
    <s v="Saturday"/>
    <s v="CUST_10254"/>
    <x v="0"/>
    <s v="TOP-OFF-M"/>
    <s v="Tops"/>
    <s v="Off-Shoulder Top"/>
    <n v="1699"/>
    <n v="2"/>
    <n v="3398"/>
    <s v=""/>
    <n v="0"/>
    <n v="0"/>
    <n v="3398"/>
    <x v="3"/>
    <x v="2"/>
    <s v="Surat"/>
    <s v="Gujarat"/>
    <s v="Mumbai"/>
    <d v="2024-12-22T00:00:00"/>
    <n v="14"/>
    <s v="Standard"/>
    <s v="Delivered"/>
    <n v="0"/>
    <n v="1"/>
    <s v="Yes"/>
    <n v="1"/>
    <s v="Size Issue"/>
    <d v="2025-01-16T00:00:00"/>
    <s v="Processed"/>
  </r>
  <r>
    <s v="UT-100256"/>
    <d v="2024-12-08T00:00:00"/>
    <x v="2"/>
    <n v="49"/>
    <s v="Sunday"/>
    <x v="9"/>
    <s v="Saturday"/>
    <s v="CUST_10255"/>
    <x v="0"/>
    <s v="DRS-BLB-S"/>
    <s v="Dresses"/>
    <s v="Balloon Sleeve Dress"/>
    <n v="2799"/>
    <n v="1"/>
    <n v="2799"/>
    <s v="Dec20"/>
    <n v="20"/>
    <n v="139.94999999999999"/>
    <n v="2659.05"/>
    <x v="1"/>
    <x v="0"/>
    <s v="Vadodara"/>
    <s v="Gujarat"/>
    <s v="Mumbai"/>
    <d v="2024-12-23T00:00:00"/>
    <n v="15"/>
    <s v="Standard"/>
    <s v="Delivered"/>
    <n v="0"/>
    <n v="1"/>
    <s v="Yes"/>
    <n v="1"/>
    <s v="Wrong Item"/>
    <d v="2025-01-18T00:00:00"/>
    <s v="Processed"/>
  </r>
  <r>
    <s v="UT-100257"/>
    <d v="2024-12-08T00:00:00"/>
    <x v="2"/>
    <n v="49"/>
    <s v="Sunday"/>
    <x v="9"/>
    <s v="Saturday"/>
    <s v="CUST_10256"/>
    <x v="0"/>
    <s v="BOT-WDE-L"/>
    <s v="Bottoms"/>
    <s v="Wide Leg Pants"/>
    <n v="2299"/>
    <n v="1"/>
    <n v="2299"/>
    <s v=""/>
    <n v="0"/>
    <n v="0"/>
    <n v="2299"/>
    <x v="0"/>
    <x v="1"/>
    <s v="Rajkot"/>
    <s v="Gujarat"/>
    <s v="Mumbai"/>
    <d v="2024-12-23T00:00:00"/>
    <n v="15"/>
    <s v="Standard"/>
    <s v="Delivered"/>
    <n v="0"/>
    <n v="1"/>
    <s v="No"/>
    <n v="0"/>
    <s v=""/>
    <m/>
    <s v="Not Applicable"/>
  </r>
  <r>
    <s v="UT-100258"/>
    <d v="2024-12-09T00:00:00"/>
    <x v="2"/>
    <n v="50"/>
    <s v="Monday"/>
    <x v="10"/>
    <s v="Sunday"/>
    <s v="CUST_10257"/>
    <x v="1"/>
    <s v="OUT-SQN-M"/>
    <s v="Outerwear"/>
    <s v="Sequin Jacket"/>
    <n v="5999"/>
    <n v="1"/>
    <n v="5999"/>
    <s v=""/>
    <n v="0"/>
    <n v="0"/>
    <n v="5999"/>
    <x v="2"/>
    <x v="2"/>
    <s v="Kanpur"/>
    <s v="Uttar Pradesh"/>
    <s v="Delhi"/>
    <d v="2024-12-24T00:00:00"/>
    <n v="15"/>
    <s v="Standard"/>
    <s v="Delivered"/>
    <n v="0"/>
    <n v="1"/>
    <s v="Yes"/>
    <n v="1"/>
    <s v="Changed Mind"/>
    <d v="2025-01-20T00:00:00"/>
    <s v="Processed"/>
  </r>
  <r>
    <s v="UT-100259"/>
    <d v="2024-12-09T00:00:00"/>
    <x v="2"/>
    <n v="50"/>
    <s v="Monday"/>
    <x v="10"/>
    <s v="Sunday"/>
    <s v="CUST_10258"/>
    <x v="0"/>
    <s v="ACC-PRT-OS"/>
    <s v="Accessories"/>
    <s v="Party Earrings"/>
    <n v="899"/>
    <n v="2"/>
    <n v="1798"/>
    <s v="Dec20"/>
    <n v="20"/>
    <n v="89.9"/>
    <n v="1708.1"/>
    <x v="4"/>
    <x v="0"/>
    <s v="Mumbai"/>
    <s v="Maharashtra"/>
    <s v="Mumbai"/>
    <d v="2024-12-23T00:00:00"/>
    <n v="14"/>
    <s v="Standard"/>
    <s v="Delivered"/>
    <n v="0"/>
    <n v="1"/>
    <s v="No"/>
    <n v="0"/>
    <s v=""/>
    <m/>
    <s v="Not Applicable"/>
  </r>
  <r>
    <s v="UT-100260"/>
    <d v="2024-12-09T00:00:00"/>
    <x v="2"/>
    <n v="50"/>
    <s v="Monday"/>
    <x v="10"/>
    <s v="Sunday"/>
    <s v="CUST_10259"/>
    <x v="0"/>
    <s v="TOP-FTH-S"/>
    <s v="Tops"/>
    <s v="Feather Trim Top"/>
    <n v="2099"/>
    <n v="1"/>
    <n v="2099"/>
    <s v=""/>
    <n v="0"/>
    <n v="0"/>
    <n v="2099"/>
    <x v="3"/>
    <x v="1"/>
    <s v="Delhi"/>
    <s v="Delhi"/>
    <s v="Delhi"/>
    <d v="2024-12-24T00:00:00"/>
    <n v="15"/>
    <s v="Standard"/>
    <s v="Delivered"/>
    <n v="0"/>
    <n v="1"/>
    <s v="Yes"/>
    <n v="1"/>
    <s v="Quality Defect"/>
    <d v="2025-01-19T00:00:00"/>
    <s v="Processed"/>
  </r>
  <r>
    <s v="UT-100261"/>
    <d v="2024-12-10T00:00:00"/>
    <x v="2"/>
    <n v="50"/>
    <s v="Tuesday"/>
    <x v="10"/>
    <s v="Monday"/>
    <s v="CUST_10260"/>
    <x v="0"/>
    <s v="DRS-PRY-M"/>
    <s v="Dresses"/>
    <s v="Party Maxi"/>
    <n v="3999"/>
    <n v="1"/>
    <n v="3999"/>
    <s v=""/>
    <n v="0"/>
    <n v="0"/>
    <n v="3999"/>
    <x v="1"/>
    <x v="2"/>
    <s v="Chandigarh"/>
    <s v="Punjab"/>
    <s v="Delhi"/>
    <d v="2024-12-25T00:00:00"/>
    <n v="15"/>
    <s v="Standard"/>
    <s v="Delivered"/>
    <n v="0"/>
    <n v="1"/>
    <s v="Yes"/>
    <n v="1"/>
    <s v="Size Issue"/>
    <d v="2025-01-22T00:00:00"/>
    <s v="Processed"/>
  </r>
  <r>
    <s v="UT-100262"/>
    <d v="2024-12-10T00:00:00"/>
    <x v="2"/>
    <n v="50"/>
    <s v="Tuesday"/>
    <x v="10"/>
    <s v="Monday"/>
    <s v="CUST_10261"/>
    <x v="0"/>
    <s v="BOT-GLM-S"/>
    <s v="Bottoms"/>
    <s v="Glam Pants"/>
    <n v="2499"/>
    <n v="1"/>
    <n v="2499"/>
    <s v="Dec20"/>
    <n v="20"/>
    <n v="124.95"/>
    <n v="2374.0500000000002"/>
    <x v="0"/>
    <x v="0"/>
    <s v="Noida"/>
    <s v="Uttar Pradesh"/>
    <s v="Delhi"/>
    <d v="2024-12-25T00:00:00"/>
    <n v="15"/>
    <s v="Standard"/>
    <s v="Delivered"/>
    <n v="0"/>
    <n v="1"/>
    <s v="No"/>
    <n v="0"/>
    <s v=""/>
    <m/>
    <s v="Not Applicable"/>
  </r>
  <r>
    <s v="UT-100263"/>
    <d v="2024-12-10T00:00:00"/>
    <x v="2"/>
    <n v="50"/>
    <s v="Tuesday"/>
    <x v="10"/>
    <s v="Monday"/>
    <s v="CUST_10262"/>
    <x v="1"/>
    <s v="OUT-LME-L"/>
    <s v="Outerwear"/>
    <s v="Lame Blazer"/>
    <n v="4899"/>
    <n v="1"/>
    <n v="4899"/>
    <s v=""/>
    <n v="0"/>
    <n v="0"/>
    <n v="4899"/>
    <x v="2"/>
    <x v="1"/>
    <s v="Gurgaon"/>
    <s v="Haryana"/>
    <s v="Delhi"/>
    <d v="2024-12-26T00:00:00"/>
    <n v="16"/>
    <s v="Slow"/>
    <s v="Delivered"/>
    <n v="0"/>
    <n v="1"/>
    <s v="Yes"/>
    <n v="1"/>
    <s v="Wrong Item"/>
    <d v="2025-01-23T00:00:00"/>
    <s v="Processed"/>
  </r>
  <r>
    <s v="UT-100264"/>
    <d v="2024-12-10T00:00:00"/>
    <x v="2"/>
    <n v="50"/>
    <s v="Tuesday"/>
    <x v="10"/>
    <s v="Monday"/>
    <s v="CUST_10263"/>
    <x v="0"/>
    <s v="ACC-NYE-OS"/>
    <s v="Accessories"/>
    <s v="NYE Headpiece"/>
    <n v="1199"/>
    <n v="1"/>
    <n v="1199"/>
    <s v=""/>
    <n v="0"/>
    <n v="0"/>
    <n v="1199"/>
    <x v="4"/>
    <x v="2"/>
    <s v="Indore"/>
    <s v="Madhya Pradesh"/>
    <s v="Mumbai"/>
    <d v="2024-12-25T00:00:00"/>
    <n v="15"/>
    <s v="Standard"/>
    <s v="Delivered"/>
    <n v="0"/>
    <n v="1"/>
    <s v="No"/>
    <n v="0"/>
    <s v=""/>
    <m/>
    <s v="Not Applicable"/>
  </r>
  <r>
    <s v="UT-100265"/>
    <d v="2024-12-10T00:00:00"/>
    <x v="2"/>
    <n v="50"/>
    <s v="Tuesday"/>
    <x v="10"/>
    <s v="Monday"/>
    <s v="CUST_10264"/>
    <x v="0"/>
    <s v="TOP-SHM-M"/>
    <s v="Tops"/>
    <s v="Shimmer Top"/>
    <n v="1899"/>
    <n v="1"/>
    <n v="1899"/>
    <s v="Dec20"/>
    <n v="20"/>
    <n v="94.95"/>
    <n v="1804.05"/>
    <x v="3"/>
    <x v="0"/>
    <s v="Surat"/>
    <s v="Gujarat"/>
    <s v="Mumbai"/>
    <d v="2024-12-26T00:00:00"/>
    <n v="16"/>
    <s v="Slow"/>
    <s v="Delivered"/>
    <n v="0"/>
    <n v="1"/>
    <s v="Yes"/>
    <n v="1"/>
    <s v="Damaged in Transit"/>
    <d v="2025-01-21T00:00:00"/>
    <s v="Processed"/>
  </r>
  <r>
    <s v="UT-100266"/>
    <d v="2024-12-11T00:00:00"/>
    <x v="2"/>
    <n v="50"/>
    <s v="Wednesday"/>
    <x v="10"/>
    <s v="Tuesday"/>
    <s v="CUST_10265"/>
    <x v="0"/>
    <s v="DRS-CNT-L"/>
    <s v="Dresses"/>
    <s v="Countdown Dress"/>
    <n v="3599"/>
    <n v="1"/>
    <n v="3599"/>
    <s v=""/>
    <n v="0"/>
    <n v="0"/>
    <n v="3599"/>
    <x v="1"/>
    <x v="1"/>
    <s v="Patna"/>
    <s v="Bihar"/>
    <s v="Delhi"/>
    <d v="2024-12-27T00:00:00"/>
    <n v="16"/>
    <s v="Slow"/>
    <s v="Delivered"/>
    <n v="0"/>
    <n v="1"/>
    <s v="No"/>
    <n v="0"/>
    <s v=""/>
    <m/>
    <s v="Not Applicable"/>
  </r>
  <r>
    <s v="UT-100267"/>
    <d v="2024-12-11T00:00:00"/>
    <x v="2"/>
    <n v="50"/>
    <s v="Wednesday"/>
    <x v="10"/>
    <s v="Tuesday"/>
    <s v="CUST_10266"/>
    <x v="0"/>
    <s v="BOT-CHM-S"/>
    <s v="Bottoms"/>
    <s v="Champagne Pants"/>
    <n v="2699"/>
    <n v="1"/>
    <n v="2699"/>
    <s v=""/>
    <n v="0"/>
    <n v="0"/>
    <n v="2699"/>
    <x v="0"/>
    <x v="2"/>
    <s v="Bhopal"/>
    <s v="Madhya Pradesh"/>
    <s v="Mumbai"/>
    <d v="2024-12-27T00:00:00"/>
    <n v="16"/>
    <s v="Slow"/>
    <s v="Delivered"/>
    <n v="0"/>
    <n v="1"/>
    <s v="Yes"/>
    <n v="1"/>
    <s v="Size Issue"/>
    <d v="2025-01-24T00:00:00"/>
    <s v="Processed"/>
  </r>
  <r>
    <s v="UT-100268"/>
    <d v="2024-12-11T00:00:00"/>
    <x v="2"/>
    <n v="50"/>
    <s v="Wednesday"/>
    <x v="10"/>
    <s v="Tuesday"/>
    <s v="CUST_10267"/>
    <x v="1"/>
    <s v="OUT-RSE-M"/>
    <s v="Outerwear"/>
    <s v="Rose Gold Jacket"/>
    <n v="5599"/>
    <n v="1"/>
    <n v="5599"/>
    <s v="Dec20"/>
    <n v="20"/>
    <n v="279.95"/>
    <n v="5319.05"/>
    <x v="2"/>
    <x v="0"/>
    <s v="Nagpur"/>
    <s v="Maharashtra"/>
    <s v="Mumbai"/>
    <d v="2024-12-28T00:00:00"/>
    <n v="17"/>
    <s v="Slow"/>
    <s v="Delivered"/>
    <n v="0"/>
    <n v="1"/>
    <s v="Yes"/>
    <n v="1"/>
    <s v="Changed Mind"/>
    <d v="2025-01-25T00:00:00"/>
    <s v="Processed"/>
  </r>
  <r>
    <s v="UT-100269"/>
    <d v="2024-12-11T00:00:00"/>
    <x v="2"/>
    <n v="50"/>
    <s v="Wednesday"/>
    <x v="10"/>
    <s v="Tuesday"/>
    <s v="CUST_10268"/>
    <x v="0"/>
    <s v="ACC-MSK-OS"/>
    <s v="Accessories"/>
    <s v="Mask Chain"/>
    <n v="399"/>
    <n v="3"/>
    <n v="1197"/>
    <s v=""/>
    <n v="0"/>
    <n v="0"/>
    <n v="1197"/>
    <x v="4"/>
    <x v="1"/>
    <s v="Coimbatore"/>
    <s v="Tamil Nadu"/>
    <s v="Bangalore"/>
    <d v="2024-12-27T00:00:00"/>
    <n v="16"/>
    <s v="Slow"/>
    <s v="Delivered"/>
    <n v="0"/>
    <n v="1"/>
    <s v="No"/>
    <n v="0"/>
    <s v=""/>
    <m/>
    <s v="Not Applicable"/>
  </r>
  <r>
    <s v="UT-100270"/>
    <d v="2024-12-12T00:00:00"/>
    <x v="2"/>
    <n v="50"/>
    <s v="Thursday"/>
    <x v="10"/>
    <s v="Wednesday"/>
    <s v="CUST_10269"/>
    <x v="0"/>
    <s v="TOP-CEL-L"/>
    <s v="Tops"/>
    <s v="Celebration Top"/>
    <n v="2199"/>
    <n v="1"/>
    <n v="2199"/>
    <s v=""/>
    <n v="0"/>
    <n v="0"/>
    <n v="2199"/>
    <x v="3"/>
    <x v="2"/>
    <s v="Kochi"/>
    <s v="Kerala"/>
    <s v="Bangalore"/>
    <d v="2024-12-28T00:00:00"/>
    <n v="16"/>
    <s v="Slow"/>
    <s v="Delivered"/>
    <n v="0"/>
    <n v="1"/>
    <s v="Yes"/>
    <n v="1"/>
    <s v="Quality Defect"/>
    <d v="2025-01-23T00:00:00"/>
    <s v="Processed"/>
  </r>
  <r>
    <s v="UT-100271"/>
    <d v="2024-12-12T00:00:00"/>
    <x v="2"/>
    <n v="50"/>
    <s v="Thursday"/>
    <x v="10"/>
    <s v="Wednesday"/>
    <s v="CUST_10270"/>
    <x v="0"/>
    <s v="DRS-MID-S"/>
    <s v="Dresses"/>
    <s v="Midnight Dress"/>
    <n v="4299"/>
    <n v="1"/>
    <n v="4299"/>
    <s v="Dec20"/>
    <n v="20"/>
    <n v="214.95"/>
    <n v="4084.05"/>
    <x v="1"/>
    <x v="0"/>
    <s v="Vizag"/>
    <s v="Andhra Pradesh"/>
    <s v="Bangalore"/>
    <d v="2024-12-29T00:00:00"/>
    <n v="17"/>
    <s v="Slow"/>
    <s v="Delivered"/>
    <n v="0"/>
    <n v="1"/>
    <s v="No"/>
    <n v="0"/>
    <s v=""/>
    <m/>
    <s v="Not Applicable"/>
  </r>
  <r>
    <s v="UT-100272"/>
    <d v="2024-12-12T00:00:00"/>
    <x v="2"/>
    <n v="50"/>
    <s v="Thursday"/>
    <x v="10"/>
    <s v="Wednesday"/>
    <s v="CUST_10271"/>
    <x v="0"/>
    <s v="BOT-NYS-M"/>
    <s v="Bottoms"/>
    <s v="NYE Skirt"/>
    <n v="2399"/>
    <n v="1"/>
    <n v="2399"/>
    <s v=""/>
    <n v="0"/>
    <n v="0"/>
    <n v="2399"/>
    <x v="0"/>
    <x v="1"/>
    <s v="Thiruvananthapuram"/>
    <s v="Kerala"/>
    <s v="Bangalore"/>
    <d v="2024-12-29T00:00:00"/>
    <n v="17"/>
    <s v="Slow"/>
    <s v="Delivered"/>
    <n v="0"/>
    <n v="1"/>
    <s v="Yes"/>
    <n v="1"/>
    <s v="Wrong Item"/>
    <d v="2025-01-26T00:00:00"/>
    <s v="Processed"/>
  </r>
  <r>
    <s v="UT-100273"/>
    <d v="2024-12-12T00:00:00"/>
    <x v="2"/>
    <n v="50"/>
    <s v="Thursday"/>
    <x v="10"/>
    <s v="Wednesday"/>
    <s v="CUST_10272"/>
    <x v="1"/>
    <s v="OUT-FRS-L"/>
    <s v="Outerwear"/>
    <s v="Frost Jacket"/>
    <n v="6299"/>
    <n v="1"/>
    <n v="6299"/>
    <s v=""/>
    <n v="0"/>
    <n v="0"/>
    <n v="6299"/>
    <x v="2"/>
    <x v="2"/>
    <s v="Mysore"/>
    <s v="Karnataka"/>
    <s v="Bangalore"/>
    <m/>
    <n v="-45638"/>
    <s v="Fast"/>
    <s v="RTO"/>
    <n v="1"/>
    <n v="0"/>
    <s v="No"/>
    <n v="0"/>
    <s v=""/>
    <m/>
    <s v="Not Applicable"/>
  </r>
  <r>
    <s v="UT-100274"/>
    <d v="2024-12-13T00:00:00"/>
    <x v="2"/>
    <n v="50"/>
    <s v="Friday"/>
    <x v="10"/>
    <s v="Thursday"/>
    <s v="CUST_10273"/>
    <x v="0"/>
    <s v="ACC-SPR-OS"/>
    <s v="Accessories"/>
    <s v="Sparkle Hair Clip"/>
    <n v="599"/>
    <n v="2"/>
    <n v="1198"/>
    <s v="Dec20"/>
    <n v="20"/>
    <n v="59.9"/>
    <n v="1138.0999999999999"/>
    <x v="4"/>
    <x v="0"/>
    <s v="Vadodara"/>
    <s v="Gujarat"/>
    <s v="Mumbai"/>
    <d v="2024-12-29T00:00:00"/>
    <n v="16"/>
    <s v="Slow"/>
    <s v="Delivered"/>
    <n v="0"/>
    <n v="1"/>
    <s v="No"/>
    <n v="0"/>
    <s v=""/>
    <m/>
    <s v="Not Applicable"/>
  </r>
  <r>
    <s v="UT-100275"/>
    <d v="2024-12-13T00:00:00"/>
    <x v="2"/>
    <n v="50"/>
    <s v="Friday"/>
    <x v="10"/>
    <s v="Thursday"/>
    <s v="CUST_10274"/>
    <x v="0"/>
    <s v="TOP-GLS-M"/>
    <s v="Tops"/>
    <s v="Glass Bead Top"/>
    <n v="2399"/>
    <n v="1"/>
    <n v="2399"/>
    <s v=""/>
    <n v="0"/>
    <n v="0"/>
    <n v="2399"/>
    <x v="3"/>
    <x v="1"/>
    <s v="Rajkot"/>
    <s v="Gujarat"/>
    <s v="Mumbai"/>
    <d v="2024-12-30T00:00:00"/>
    <n v="17"/>
    <s v="Slow"/>
    <s v="Delivered"/>
    <n v="0"/>
    <n v="1"/>
    <s v="Yes"/>
    <n v="1"/>
    <s v="Size Issue"/>
    <d v="2025-01-27T00:00:00"/>
    <s v="Processed"/>
  </r>
  <r>
    <s v="UT-100276"/>
    <d v="2024-12-13T00:00:00"/>
    <x v="2"/>
    <n v="50"/>
    <s v="Friday"/>
    <x v="10"/>
    <s v="Thursday"/>
    <s v="CUST_10275"/>
    <x v="0"/>
    <s v="DRS-FNL-L"/>
    <s v="Dresses"/>
    <s v="Finale Gown"/>
    <n v="5999"/>
    <n v="1"/>
    <n v="5999"/>
    <s v=""/>
    <n v="0"/>
    <n v="0"/>
    <n v="5999"/>
    <x v="1"/>
    <x v="2"/>
    <s v="Kanpur"/>
    <s v="Uttar Pradesh"/>
    <s v="Delhi"/>
    <d v="2024-12-31T00:00:00"/>
    <n v="18"/>
    <s v="Slow"/>
    <s v="Delivered"/>
    <n v="0"/>
    <n v="1"/>
    <s v="Yes"/>
    <n v="1"/>
    <s v="Damaged in Transit"/>
    <d v="2025-01-28T00:00:00"/>
    <s v="Processed"/>
  </r>
  <r>
    <s v="UT-100277"/>
    <d v="2024-12-13T00:00:00"/>
    <x v="2"/>
    <n v="50"/>
    <s v="Friday"/>
    <x v="10"/>
    <s v="Thursday"/>
    <s v="CUST_10276"/>
    <x v="0"/>
    <s v="BOT-PRY-S"/>
    <s v="Bottoms"/>
    <s v="Party Leggings"/>
    <n v="1899"/>
    <n v="1"/>
    <n v="1899"/>
    <s v="Dec20"/>
    <n v="20"/>
    <n v="94.95"/>
    <n v="1804.05"/>
    <x v="0"/>
    <x v="0"/>
    <s v="Mumbai"/>
    <s v="Maharashtra"/>
    <s v="Mumbai"/>
    <d v="2024-12-30T00:00:00"/>
    <n v="17"/>
    <s v="Slow"/>
    <s v="Delivered"/>
    <n v="0"/>
    <n v="1"/>
    <s v="No"/>
    <n v="0"/>
    <s v=""/>
    <m/>
    <s v="Not Applicable"/>
  </r>
  <r>
    <s v="UT-100278"/>
    <d v="2024-12-14T00:00:00"/>
    <x v="2"/>
    <n v="50"/>
    <s v="Saturday"/>
    <x v="10"/>
    <s v="Friday"/>
    <s v="CUST_10277"/>
    <x v="1"/>
    <s v="OUT-CHR-M"/>
    <s v="Outerwear"/>
    <s v="Christmas Jacket"/>
    <n v="4999"/>
    <n v="1"/>
    <n v="4999"/>
    <s v=""/>
    <n v="0"/>
    <n v="0"/>
    <n v="4999"/>
    <x v="2"/>
    <x v="1"/>
    <s v="Delhi"/>
    <s v="Delhi"/>
    <s v="Delhi"/>
    <d v="2024-12-31T00:00:00"/>
    <n v="17"/>
    <s v="Slow"/>
    <s v="Delivered"/>
    <n v="0"/>
    <n v="1"/>
    <s v="Yes"/>
    <n v="1"/>
    <s v="Changed Mind"/>
    <d v="2025-01-29T00:00:00"/>
    <s v="Processed"/>
  </r>
  <r>
    <s v="UT-100279"/>
    <d v="2024-12-14T00:00:00"/>
    <x v="2"/>
    <n v="50"/>
    <s v="Saturday"/>
    <x v="10"/>
    <s v="Friday"/>
    <s v="CUST_10278"/>
    <x v="0"/>
    <s v="ACC-BLS-OS"/>
    <s v="Accessories"/>
    <s v="Blush Bag"/>
    <n v="1699"/>
    <n v="1"/>
    <n v="1699"/>
    <s v=""/>
    <n v="0"/>
    <n v="0"/>
    <n v="1699"/>
    <x v="4"/>
    <x v="2"/>
    <s v="Kolkata"/>
    <s v="West Bengal"/>
    <s v="Delhi"/>
    <d v="2024-12-30T00:00:00"/>
    <n v="16"/>
    <s v="Slow"/>
    <s v="Delivered"/>
    <n v="0"/>
    <n v="1"/>
    <s v="Yes"/>
    <n v="1"/>
    <s v="Quality Defect"/>
    <d v="2025-01-26T00:00:00"/>
    <s v="Processed"/>
  </r>
  <r>
    <s v="UT-100280"/>
    <d v="2024-12-14T00:00:00"/>
    <x v="2"/>
    <n v="50"/>
    <s v="Saturday"/>
    <x v="10"/>
    <s v="Friday"/>
    <s v="CUST_10279"/>
    <x v="0"/>
    <s v="TOP-YRS-L"/>
    <s v="Tops"/>
    <s v="Year End Top"/>
    <n v="2099"/>
    <n v="1"/>
    <n v="2099"/>
    <s v="Dec20"/>
    <n v="20"/>
    <n v="104.95"/>
    <n v="1994.05"/>
    <x v="3"/>
    <x v="0"/>
    <s v="Chennai"/>
    <s v="Tamil Nadu"/>
    <s v="Bangalore"/>
    <d v="2024-12-31T00:00:00"/>
    <n v="17"/>
    <s v="Slow"/>
    <s v="Delivered"/>
    <n v="0"/>
    <n v="1"/>
    <s v="No"/>
    <n v="0"/>
    <s v=""/>
    <m/>
    <s v="Not Applicable"/>
  </r>
  <r>
    <s v="UT-100281"/>
    <d v="2024-12-14T00:00:00"/>
    <x v="2"/>
    <n v="50"/>
    <s v="Saturday"/>
    <x v="10"/>
    <s v="Friday"/>
    <s v="CUST_10280"/>
    <x v="0"/>
    <s v="DRS-EVE-S"/>
    <s v="Dresses"/>
    <s v="Evening Elegance"/>
    <n v="4599"/>
    <n v="1"/>
    <n v="4599"/>
    <s v=""/>
    <n v="0"/>
    <n v="0"/>
    <n v="4599"/>
    <x v="1"/>
    <x v="1"/>
    <s v="Hyderabad"/>
    <s v="Telangana"/>
    <s v="Bangalore"/>
    <d v="2025-01-02T00:00:00"/>
    <n v="19"/>
    <s v="Slow"/>
    <s v="Delivered"/>
    <n v="0"/>
    <n v="1"/>
    <s v="Yes"/>
    <n v="1"/>
    <s v="Size Issue"/>
    <d v="2025-01-30T00:00:00"/>
    <s v="Processed"/>
  </r>
  <r>
    <s v="UT-100282"/>
    <d v="2024-12-15T00:00:00"/>
    <x v="2"/>
    <n v="50"/>
    <s v="Sunday"/>
    <x v="10"/>
    <s v="Saturday"/>
    <s v="CUST_10281"/>
    <x v="0"/>
    <s v="BOT-FNS-M"/>
    <s v="Bottoms"/>
    <s v="Finish Line Pants"/>
    <n v="2299"/>
    <n v="1"/>
    <n v="2299"/>
    <s v=""/>
    <n v="0"/>
    <n v="0"/>
    <n v="2299"/>
    <x v="0"/>
    <x v="2"/>
    <s v="Pune"/>
    <s v="Maharashtra"/>
    <s v="Mumbai"/>
    <d v="2025-01-02T00:00:00"/>
    <n v="18"/>
    <s v="Slow"/>
    <s v="Delivered"/>
    <n v="0"/>
    <n v="1"/>
    <s v="No"/>
    <n v="0"/>
    <s v=""/>
    <m/>
    <s v="Not Applicable"/>
  </r>
  <r>
    <s v="UT-100283"/>
    <d v="2024-12-15T00:00:00"/>
    <x v="2"/>
    <n v="50"/>
    <s v="Sunday"/>
    <x v="10"/>
    <s v="Saturday"/>
    <s v="CUST_10282"/>
    <x v="1"/>
    <s v="OUT-NYB-L"/>
    <s v="Outerwear"/>
    <s v="NYE Blazer"/>
    <n v="5799"/>
    <n v="1"/>
    <n v="5799"/>
    <s v="Dec20"/>
    <n v="20"/>
    <n v="289.95"/>
    <n v="5509.05"/>
    <x v="2"/>
    <x v="0"/>
    <s v="Ahmedabad"/>
    <s v="Gujarat"/>
    <s v="Mumbai"/>
    <d v="2025-01-03T00:00:00"/>
    <n v="19"/>
    <s v="Slow"/>
    <s v="Delivered"/>
    <n v="0"/>
    <n v="1"/>
    <s v="Yes"/>
    <n v="1"/>
    <s v="Wrong Item"/>
    <d v="2025-01-31T00:00:00"/>
    <s v="Processed"/>
  </r>
  <r>
    <s v="UT-100284"/>
    <d v="2024-12-15T00:00:00"/>
    <x v="2"/>
    <n v="50"/>
    <s v="Sunday"/>
    <x v="10"/>
    <s v="Saturday"/>
    <s v="CUST_10283"/>
    <x v="0"/>
    <s v="ACC-CNT-OS"/>
    <s v="Accessories"/>
    <s v="Countdown Earrings"/>
    <n v="799"/>
    <n v="2"/>
    <n v="1598"/>
    <s v=""/>
    <n v="0"/>
    <n v="0"/>
    <n v="1598"/>
    <x v="4"/>
    <x v="1"/>
    <s v="Jaipur"/>
    <s v="Rajasthan"/>
    <s v="Delhi"/>
    <d v="2025-01-02T00:00:00"/>
    <n v="18"/>
    <s v="Slow"/>
    <s v="Delivered"/>
    <n v="0"/>
    <n v="1"/>
    <s v="No"/>
    <n v="0"/>
    <s v=""/>
    <m/>
    <s v="Not Applicable"/>
  </r>
  <r>
    <s v="UT-100285"/>
    <d v="2024-12-15T00:00:00"/>
    <x v="2"/>
    <n v="50"/>
    <s v="Sunday"/>
    <x v="10"/>
    <s v="Saturday"/>
    <s v="CUST_10284"/>
    <x v="0"/>
    <s v="TOP-LST-S"/>
    <s v="Tops"/>
    <s v="Last Dance Top"/>
    <n v="1999"/>
    <n v="1"/>
    <n v="1999"/>
    <s v=""/>
    <n v="0"/>
    <n v="0"/>
    <n v="1999"/>
    <x v="3"/>
    <x v="2"/>
    <s v="Lucknow"/>
    <s v="Uttar Pradesh"/>
    <s v="Delhi"/>
    <d v="2025-01-03T00:00:00"/>
    <n v="19"/>
    <s v="Slow"/>
    <s v="Delivered"/>
    <n v="0"/>
    <n v="1"/>
    <s v="Yes"/>
    <n v="1"/>
    <s v="Damaged in Transit"/>
    <d v="2025-01-30T00:00:00"/>
    <s v="Processed"/>
  </r>
  <r>
    <s v="UT-100286"/>
    <d v="2024-12-16T00:00:00"/>
    <x v="2"/>
    <n v="51"/>
    <s v="Monday"/>
    <x v="11"/>
    <s v="Sunday"/>
    <s v="CUST_10285"/>
    <x v="0"/>
    <s v="DRS-BLS-M"/>
    <s v="Dresses"/>
    <s v="Bliss Dress"/>
    <n v="3899"/>
    <n v="1"/>
    <n v="3899"/>
    <s v="Dec20"/>
    <n v="20"/>
    <n v="194.95"/>
    <n v="3704.05"/>
    <x v="1"/>
    <x v="0"/>
    <s v="Bangalore"/>
    <s v="Karnataka"/>
    <s v="Bangalore"/>
    <d v="2025-01-04T00:00:00"/>
    <n v="19"/>
    <s v="Slow"/>
    <s v="Delivered"/>
    <n v="0"/>
    <n v="1"/>
    <s v="Yes"/>
    <n v="1"/>
    <s v="Size Issue"/>
    <d v="2025-02-01T00:00:00"/>
    <s v="Processed"/>
  </r>
  <r>
    <s v="UT-100287"/>
    <d v="2024-12-16T00:00:00"/>
    <x v="2"/>
    <n v="51"/>
    <s v="Monday"/>
    <x v="11"/>
    <s v="Sunday"/>
    <s v="CUST_10286"/>
    <x v="0"/>
    <s v="BOT-END-L"/>
    <s v="Bottoms"/>
    <s v="Year End Pants"/>
    <n v="2599"/>
    <n v="1"/>
    <n v="2599"/>
    <s v=""/>
    <n v="0"/>
    <n v="0"/>
    <n v="2599"/>
    <x v="0"/>
    <x v="1"/>
    <s v="Mumbai"/>
    <s v="Maharashtra"/>
    <s v="Mumbai"/>
    <d v="2025-01-04T00:00:00"/>
    <n v="19"/>
    <s v="Slow"/>
    <s v="Delivered"/>
    <n v="0"/>
    <n v="1"/>
    <s v="No"/>
    <n v="0"/>
    <s v=""/>
    <m/>
    <s v="Not Applicable"/>
  </r>
  <r>
    <s v="UT-100288"/>
    <d v="2024-12-16T00:00:00"/>
    <x v="2"/>
    <n v="51"/>
    <s v="Monday"/>
    <x v="11"/>
    <s v="Sunday"/>
    <s v="CUST_10287"/>
    <x v="0"/>
    <s v="OUT-CLB-M"/>
    <s v="Outerwear"/>
    <s v="Celebration Blazer"/>
    <n v="5299"/>
    <n v="1"/>
    <n v="5299"/>
    <s v=""/>
    <n v="0"/>
    <n v="0"/>
    <n v="5299"/>
    <x v="2"/>
    <x v="2"/>
    <s v="Delhi"/>
    <s v="Delhi"/>
    <s v="Delhi"/>
    <d v="2025-01-05T00:00:00"/>
    <n v="20"/>
    <s v="Slow"/>
    <s v="Delivered"/>
    <n v="0"/>
    <n v="1"/>
    <s v="Yes"/>
    <n v="1"/>
    <s v="Changed Mind"/>
    <d v="2025-02-02T00:00:00"/>
    <s v="Processed"/>
  </r>
  <r>
    <s v="UT-100289"/>
    <d v="2024-12-16T00:00:00"/>
    <x v="2"/>
    <n v="51"/>
    <s v="Monday"/>
    <x v="11"/>
    <s v="Sunday"/>
    <s v="CUST_10288"/>
    <x v="1"/>
    <s v="ACC-FNL-OS"/>
    <s v="Accessories"/>
    <s v="Finale Necklace"/>
    <n v="1399"/>
    <n v="1"/>
    <n v="1399"/>
    <s v="Dec20"/>
    <n v="20"/>
    <n v="69.95"/>
    <n v="1329.05"/>
    <x v="4"/>
    <x v="0"/>
    <s v="Chandigarh"/>
    <s v="Punjab"/>
    <s v="Delhi"/>
    <d v="2025-01-04T00:00:00"/>
    <n v="19"/>
    <s v="Slow"/>
    <s v="Delivered"/>
    <n v="0"/>
    <n v="1"/>
    <s v="No"/>
    <n v="0"/>
    <s v=""/>
    <m/>
    <s v="Not Applicable"/>
  </r>
  <r>
    <s v="UT-100290"/>
    <d v="2024-12-17T00:00:00"/>
    <x v="2"/>
    <n v="51"/>
    <s v="Tuesday"/>
    <x v="11"/>
    <s v="Monday"/>
    <s v="CUST_10289"/>
    <x v="0"/>
    <s v="TOP-PRY-M"/>
    <s v="Tops"/>
    <s v="Party Essential Top"/>
    <n v="1799"/>
    <n v="1"/>
    <n v="1799"/>
    <s v=""/>
    <n v="0"/>
    <n v="0"/>
    <n v="1799"/>
    <x v="3"/>
    <x v="1"/>
    <s v="Noida"/>
    <s v="Uttar Pradesh"/>
    <s v="Delhi"/>
    <d v="2025-01-05T00:00:00"/>
    <n v="19"/>
    <s v="Slow"/>
    <s v="Delivered"/>
    <n v="0"/>
    <n v="1"/>
    <s v="Yes"/>
    <n v="1"/>
    <s v="Quality Defect"/>
    <d v="2025-02-01T00:00:00"/>
    <s v="Processed"/>
  </r>
  <r>
    <s v="UT-100291"/>
    <d v="2024-12-17T00:00:00"/>
    <x v="2"/>
    <n v="51"/>
    <s v="Tuesday"/>
    <x v="11"/>
    <s v="Monday"/>
    <s v="CUST_10290"/>
    <x v="0"/>
    <s v="DRS-SHN-L"/>
    <s v="Dresses"/>
    <s v="Shine On Dress"/>
    <n v="4199"/>
    <n v="1"/>
    <n v="4199"/>
    <s v=""/>
    <n v="0"/>
    <n v="0"/>
    <n v="4199"/>
    <x v="1"/>
    <x v="2"/>
    <s v="Gurgaon"/>
    <s v="Haryana"/>
    <s v="Delhi"/>
    <d v="2025-01-06T00:00:00"/>
    <n v="20"/>
    <s v="Slow"/>
    <s v="Delivered"/>
    <n v="0"/>
    <n v="1"/>
    <s v="Yes"/>
    <n v="1"/>
    <s v="Size Issue"/>
    <d v="2025-02-03T00:00:00"/>
    <s v="Processed"/>
  </r>
  <r>
    <s v="UT-100292"/>
    <d v="2024-12-17T00:00:00"/>
    <x v="2"/>
    <n v="51"/>
    <s v="Tuesday"/>
    <x v="11"/>
    <s v="Monday"/>
    <s v="CUST_10291"/>
    <x v="0"/>
    <s v="BOT-GLD-S"/>
    <s v="Bottoms"/>
    <s v="Gold Rush Pants"/>
    <n v="2799"/>
    <n v="1"/>
    <n v="2799"/>
    <s v="Dec20"/>
    <n v="20"/>
    <n v="139.94999999999999"/>
    <n v="2659.05"/>
    <x v="0"/>
    <x v="0"/>
    <s v="Indore"/>
    <s v="Madhya Pradesh"/>
    <s v="Mumbai"/>
    <d v="2025-01-06T00:00:00"/>
    <n v="20"/>
    <s v="Slow"/>
    <s v="Delivered"/>
    <n v="0"/>
    <n v="1"/>
    <s v="No"/>
    <n v="0"/>
    <s v=""/>
    <m/>
    <s v="Not Applicable"/>
  </r>
  <r>
    <s v="UT-100293"/>
    <d v="2024-12-17T00:00:00"/>
    <x v="2"/>
    <n v="51"/>
    <s v="Tuesday"/>
    <x v="11"/>
    <s v="Monday"/>
    <s v="CUST_10292"/>
    <x v="0"/>
    <s v="OUT-DZL-M"/>
    <s v="Outerwear"/>
    <s v="Dazzle Jacket"/>
    <n v="5499"/>
    <n v="1"/>
    <n v="5499"/>
    <s v=""/>
    <n v="0"/>
    <n v="0"/>
    <n v="5499"/>
    <x v="2"/>
    <x v="1"/>
    <s v="Surat"/>
    <s v="Gujarat"/>
    <s v="Mumbai"/>
    <d v="2025-01-07T00:00:00"/>
    <n v="21"/>
    <s v="Slow"/>
    <s v="Delivered"/>
    <n v="0"/>
    <n v="1"/>
    <s v="Yes"/>
    <n v="1"/>
    <s v="Wrong Item"/>
    <d v="2025-02-04T00:00:00"/>
    <s v="Processed"/>
  </r>
  <r>
    <s v="UT-100294"/>
    <d v="2024-12-18T00:00:00"/>
    <x v="2"/>
    <n v="51"/>
    <s v="Wednesday"/>
    <x v="11"/>
    <s v="Tuesday"/>
    <s v="CUST_10293"/>
    <x v="1"/>
    <s v="ACC-GLW-OS"/>
    <s v="Accessories"/>
    <s v="Glow Bracelet"/>
    <n v="699"/>
    <n v="2"/>
    <n v="1398"/>
    <s v=""/>
    <n v="0"/>
    <n v="0"/>
    <n v="1398"/>
    <x v="4"/>
    <x v="2"/>
    <s v="Patna"/>
    <s v="Bihar"/>
    <s v="Delhi"/>
    <d v="2025-01-06T00:00:00"/>
    <n v="19"/>
    <s v="Slow"/>
    <s v="Delivered"/>
    <n v="0"/>
    <n v="1"/>
    <s v="No"/>
    <n v="0"/>
    <s v=""/>
    <m/>
    <s v="Not Applicable"/>
  </r>
  <r>
    <s v="UT-100295"/>
    <d v="2024-12-18T00:00:00"/>
    <x v="2"/>
    <n v="51"/>
    <s v="Wednesday"/>
    <x v="11"/>
    <s v="Tuesday"/>
    <s v="CUST_10294"/>
    <x v="0"/>
    <s v="TOP-SLB-L"/>
    <s v="Tops"/>
    <s v="Celebrate Top"/>
    <n v="2299"/>
    <n v="1"/>
    <n v="2299"/>
    <s v="Dec20"/>
    <n v="20"/>
    <n v="114.95"/>
    <n v="2184.0500000000002"/>
    <x v="3"/>
    <x v="0"/>
    <s v="Bhopal"/>
    <s v="Madhya Pradesh"/>
    <s v="Mumbai"/>
    <d v="2025-01-07T00:00:00"/>
    <n v="20"/>
    <s v="Slow"/>
    <s v="Delivered"/>
    <n v="0"/>
    <n v="1"/>
    <s v="Yes"/>
    <n v="1"/>
    <s v="Damaged in Transit"/>
    <d v="2025-02-03T00:00:00"/>
    <s v="Processed"/>
  </r>
  <r>
    <s v="UT-100296"/>
    <d v="2024-12-18T00:00:00"/>
    <x v="2"/>
    <n v="51"/>
    <s v="Wednesday"/>
    <x v="11"/>
    <s v="Tuesday"/>
    <s v="CUST_10295"/>
    <x v="0"/>
    <s v="DRS-RDY-S"/>
    <s v="Dresses"/>
    <s v="Ready to Party Dress"/>
    <n v="3599"/>
    <n v="1"/>
    <n v="3599"/>
    <s v=""/>
    <n v="0"/>
    <n v="0"/>
    <n v="3599"/>
    <x v="1"/>
    <x v="1"/>
    <s v="Nagpur"/>
    <s v="Maharashtra"/>
    <s v="Mumbai"/>
    <d v="2025-01-08T00:00:00"/>
    <n v="21"/>
    <s v="Slow"/>
    <s v="Delivered"/>
    <n v="0"/>
    <n v="1"/>
    <s v="No"/>
    <n v="0"/>
    <s v=""/>
    <m/>
    <s v="Not Applicable"/>
  </r>
  <r>
    <s v="UT-100297"/>
    <d v="2024-12-18T00:00:00"/>
    <x v="2"/>
    <n v="51"/>
    <s v="Wednesday"/>
    <x v="11"/>
    <s v="Tuesday"/>
    <s v="CUST_10296"/>
    <x v="0"/>
    <s v="BOT-BRT-M"/>
    <s v="Bottoms"/>
    <s v="Bright Night Pants"/>
    <n v="2499"/>
    <n v="1"/>
    <n v="2499"/>
    <s v=""/>
    <n v="0"/>
    <n v="0"/>
    <n v="2499"/>
    <x v="0"/>
    <x v="2"/>
    <s v="Coimbatore"/>
    <s v="Tamil Nadu"/>
    <s v="Bangalore"/>
    <d v="2025-01-08T00:00:00"/>
    <n v="21"/>
    <s v="Slow"/>
    <s v="Delivered"/>
    <n v="0"/>
    <n v="1"/>
    <s v="Yes"/>
    <n v="1"/>
    <s v="Size Issue"/>
    <d v="2025-02-05T00:00:00"/>
    <s v="Processed"/>
  </r>
  <r>
    <s v="UT-100298"/>
    <d v="2024-12-19T00:00:00"/>
    <x v="2"/>
    <n v="51"/>
    <s v="Thursday"/>
    <x v="11"/>
    <s v="Wednesday"/>
    <s v="CUST_10297"/>
    <x v="0"/>
    <s v="OUT-END-L"/>
    <s v="Outerwear"/>
    <s v="End of Year Coat"/>
    <n v="6799"/>
    <n v="1"/>
    <n v="6799"/>
    <s v="Dec20"/>
    <n v="20"/>
    <n v="339.95"/>
    <n v="6459.05"/>
    <x v="2"/>
    <x v="0"/>
    <s v="Kochi"/>
    <s v="Kerala"/>
    <s v="Bangalore"/>
    <d v="2025-01-09T00:00:00"/>
    <n v="21"/>
    <s v="Slow"/>
    <s v="Delivered"/>
    <n v="0"/>
    <n v="1"/>
    <s v="Yes"/>
    <n v="1"/>
    <s v="Changed Mind"/>
    <d v="2025-02-06T00:00:00"/>
    <s v="Processed"/>
  </r>
  <r>
    <s v="UT-100299"/>
    <d v="2024-12-19T00:00:00"/>
    <x v="2"/>
    <n v="51"/>
    <s v="Thursday"/>
    <x v="11"/>
    <s v="Wednesday"/>
    <s v="CUST_10298"/>
    <x v="1"/>
    <s v="ACC-MRY-OS"/>
    <s v="Accessories"/>
    <s v="Merry Earrings"/>
    <n v="599"/>
    <n v="3"/>
    <n v="1797"/>
    <s v=""/>
    <n v="0"/>
    <n v="0"/>
    <n v="1797"/>
    <x v="4"/>
    <x v="1"/>
    <s v="Vizag"/>
    <s v="Andhra Pradesh"/>
    <s v="Bangalore"/>
    <d v="2025-01-08T00:00:00"/>
    <n v="20"/>
    <s v="Slow"/>
    <s v="Delivered"/>
    <n v="0"/>
    <n v="1"/>
    <s v="No"/>
    <n v="0"/>
    <s v=""/>
    <m/>
    <s v="Not Applicable"/>
  </r>
  <r>
    <s v="UT-100300"/>
    <d v="2024-12-19T00:00:00"/>
    <x v="2"/>
    <n v="51"/>
    <s v="Thursday"/>
    <x v="11"/>
    <s v="Wednesday"/>
    <s v="CUST_10299"/>
    <x v="0"/>
    <s v="TOP-JOY-M"/>
    <s v="Tops"/>
    <s v="Joyful Top"/>
    <n v="1899"/>
    <n v="1"/>
    <n v="1899"/>
    <s v=""/>
    <n v="0"/>
    <n v="0"/>
    <n v="1899"/>
    <x v="3"/>
    <x v="2"/>
    <s v="Thiruvananthapuram"/>
    <s v="Kerala"/>
    <s v="Bangalore"/>
    <d v="2025-01-09T00:00:00"/>
    <n v="21"/>
    <s v="Slow"/>
    <s v="Delivered"/>
    <n v="0"/>
    <n v="1"/>
    <s v="Yes"/>
    <n v="1"/>
    <s v="Quality Defect"/>
    <d v="2025-02-05T00:00:00"/>
    <s v="Processed"/>
  </r>
  <r>
    <s v="UT-100301"/>
    <d v="2024-12-19T00:00:00"/>
    <x v="2"/>
    <n v="51"/>
    <s v="Thursday"/>
    <x v="11"/>
    <s v="Wednesday"/>
    <s v="CUST_10300"/>
    <x v="0"/>
    <s v="DRS-WND-L"/>
    <s v="Dresses"/>
    <s v="Winter Wonder Dress"/>
    <n v="4499"/>
    <n v="1"/>
    <n v="4499"/>
    <s v="Dec20"/>
    <n v="20"/>
    <n v="224.95"/>
    <n v="4274.05"/>
    <x v="1"/>
    <x v="0"/>
    <s v="Mysore"/>
    <s v="Karnataka"/>
    <s v="Bangalore"/>
    <d v="2025-01-10T00:00:00"/>
    <n v="22"/>
    <s v="Slow"/>
    <s v="Delivered"/>
    <n v="0"/>
    <n v="1"/>
    <s v="Yes"/>
    <n v="1"/>
    <s v="Size Issue"/>
    <d v="2025-02-07T00:00:00"/>
    <s v="Processed"/>
  </r>
  <r>
    <s v="UT-100302"/>
    <d v="2024-12-20T00:00:00"/>
    <x v="2"/>
    <n v="51"/>
    <s v="Friday"/>
    <x v="11"/>
    <s v="Thursday"/>
    <s v="CUST_10301"/>
    <x v="0"/>
    <s v="BOT-FST-S"/>
    <s v="Bottoms"/>
    <s v="Festive Pants"/>
    <n v="2199"/>
    <n v="1"/>
    <n v="2199"/>
    <s v=""/>
    <n v="0"/>
    <n v="0"/>
    <n v="2199"/>
    <x v="0"/>
    <x v="1"/>
    <s v="Vadodara"/>
    <s v="Gujarat"/>
    <s v="Mumbai"/>
    <d v="2025-01-10T00:00:00"/>
    <n v="21"/>
    <s v="Slow"/>
    <s v="Delivered"/>
    <n v="0"/>
    <n v="1"/>
    <s v="No"/>
    <n v="0"/>
    <s v=""/>
    <m/>
    <s v="Not Applicable"/>
  </r>
  <r>
    <s v="UT-100303"/>
    <d v="2024-12-20T00:00:00"/>
    <x v="2"/>
    <n v="51"/>
    <s v="Friday"/>
    <x v="11"/>
    <s v="Thursday"/>
    <s v="CUST_10302"/>
    <x v="0"/>
    <s v="OUT-HOL-M"/>
    <s v="Outerwear"/>
    <s v="Holiday Jacket"/>
    <n v="5199"/>
    <n v="1"/>
    <n v="5199"/>
    <s v=""/>
    <n v="0"/>
    <n v="0"/>
    <n v="5199"/>
    <x v="2"/>
    <x v="2"/>
    <s v="Rajkot"/>
    <s v="Gujarat"/>
    <s v="Mumbai"/>
    <d v="2025-01-11T00:00:00"/>
    <n v="22"/>
    <s v="Slow"/>
    <s v="Delivered"/>
    <n v="0"/>
    <n v="1"/>
    <s v="Yes"/>
    <n v="1"/>
    <s v="Wrong Item"/>
    <d v="2025-02-08T00:00:00"/>
    <s v="Processed"/>
  </r>
  <r>
    <s v="UT-100304"/>
    <d v="2024-12-20T00:00:00"/>
    <x v="2"/>
    <n v="51"/>
    <s v="Friday"/>
    <x v="11"/>
    <s v="Thursday"/>
    <s v="CUST_10303"/>
    <x v="1"/>
    <s v="ACC-CHR-OS"/>
    <s v="Accessories"/>
    <s v="Christmas Brooch"/>
    <n v="499"/>
    <n v="2"/>
    <n v="998"/>
    <s v="Dec20"/>
    <n v="20"/>
    <n v="49.9"/>
    <n v="948.1"/>
    <x v="4"/>
    <x v="0"/>
    <s v="Kanpur"/>
    <s v="Uttar Pradesh"/>
    <s v="Delhi"/>
    <d v="2025-01-10T00:00:00"/>
    <n v="21"/>
    <s v="Slow"/>
    <s v="Delivered"/>
    <n v="0"/>
    <n v="1"/>
    <s v="No"/>
    <n v="0"/>
    <s v=""/>
    <m/>
    <s v="Not Applicable"/>
  </r>
  <r>
    <s v="UT-100305"/>
    <d v="2024-12-20T00:00:00"/>
    <x v="2"/>
    <n v="51"/>
    <s v="Friday"/>
    <x v="11"/>
    <s v="Thursday"/>
    <s v="CUST_10304"/>
    <x v="0"/>
    <s v="TOP-SNW-L"/>
    <s v="Tops"/>
    <s v="Snow White Top"/>
    <n v="2099"/>
    <n v="1"/>
    <n v="2099"/>
    <s v=""/>
    <n v="0"/>
    <n v="0"/>
    <n v="2099"/>
    <x v="3"/>
    <x v="1"/>
    <s v="Mumbai"/>
    <s v="Maharashtra"/>
    <s v="Mumbai"/>
    <d v="2025-01-11T00:00:00"/>
    <n v="22"/>
    <s v="Slow"/>
    <s v="Delivered"/>
    <n v="0"/>
    <n v="1"/>
    <s v="Yes"/>
    <n v="1"/>
    <s v="Damaged in Transit"/>
    <d v="2025-02-07T00:00:00"/>
    <s v="Processed"/>
  </r>
  <r>
    <s v="UT-100306"/>
    <d v="2024-12-21T00:00:00"/>
    <x v="2"/>
    <n v="51"/>
    <s v="Saturday"/>
    <x v="11"/>
    <s v="Friday"/>
    <s v="CUST_10305"/>
    <x v="0"/>
    <s v="DRS-ICE-S"/>
    <s v="Dresses"/>
    <s v="Ice Queen Dress"/>
    <n v="3999"/>
    <n v="1"/>
    <n v="3999"/>
    <s v=""/>
    <n v="0"/>
    <n v="0"/>
    <n v="3999"/>
    <x v="1"/>
    <x v="2"/>
    <s v="Delhi"/>
    <s v="Delhi"/>
    <s v="Delhi"/>
    <d v="2025-01-12T00:00:00"/>
    <n v="22"/>
    <s v="Slow"/>
    <s v="Delivered"/>
    <n v="0"/>
    <n v="1"/>
    <s v="Yes"/>
    <n v="1"/>
    <s v="Size Issue"/>
    <d v="2025-02-09T00:00:00"/>
    <s v="Processed"/>
  </r>
  <r>
    <s v="UT-100307"/>
    <d v="2024-12-21T00:00:00"/>
    <x v="2"/>
    <n v="51"/>
    <s v="Saturday"/>
    <x v="11"/>
    <s v="Friday"/>
    <s v="CUST_10306"/>
    <x v="0"/>
    <s v="BOT-FRZ-M"/>
    <s v="Bottoms"/>
    <s v="Frozen Pants"/>
    <n v="2399"/>
    <n v="1"/>
    <n v="2399"/>
    <s v="Dec20"/>
    <n v="20"/>
    <n v="119.95"/>
    <n v="2279.0500000000002"/>
    <x v="0"/>
    <x v="0"/>
    <s v="Kolkata"/>
    <s v="West Bengal"/>
    <s v="Delhi"/>
    <d v="2025-01-12T00:00:00"/>
    <n v="22"/>
    <s v="Slow"/>
    <s v="Delivered"/>
    <n v="0"/>
    <n v="1"/>
    <s v="No"/>
    <n v="0"/>
    <s v=""/>
    <m/>
    <s v="Not Applicable"/>
  </r>
  <r>
    <s v="UT-100308"/>
    <d v="2024-12-21T00:00:00"/>
    <x v="2"/>
    <n v="51"/>
    <s v="Saturday"/>
    <x v="11"/>
    <s v="Friday"/>
    <s v="CUST_10307"/>
    <x v="0"/>
    <s v="OUT-WNT-L"/>
    <s v="Outerwear"/>
    <s v="Winter Wonderland Coat"/>
    <n v="7299"/>
    <n v="1"/>
    <n v="7299"/>
    <s v=""/>
    <n v="0"/>
    <n v="0"/>
    <n v="7299"/>
    <x v="2"/>
    <x v="1"/>
    <s v="Chennai"/>
    <s v="Tamil Nadu"/>
    <s v="Bangalore"/>
    <d v="2025-01-13T00:00:00"/>
    <n v="23"/>
    <s v="Slow"/>
    <s v="Delivered"/>
    <n v="0"/>
    <n v="1"/>
    <s v="Yes"/>
    <n v="1"/>
    <s v="Changed Mind"/>
    <d v="2025-02-10T00:00:00"/>
    <s v="Processed"/>
  </r>
  <r>
    <s v="UT-100309"/>
    <d v="2024-12-21T00:00:00"/>
    <x v="2"/>
    <n v="51"/>
    <s v="Saturday"/>
    <x v="11"/>
    <s v="Friday"/>
    <s v="CUST_10308"/>
    <x v="1"/>
    <s v="ACC-SNF-OS"/>
    <s v="Accessories"/>
    <s v="Snowflake Pendant"/>
    <n v="899"/>
    <n v="1"/>
    <n v="899"/>
    <s v=""/>
    <n v="0"/>
    <n v="0"/>
    <n v="899"/>
    <x v="4"/>
    <x v="2"/>
    <s v="Hyderabad"/>
    <s v="Telangana"/>
    <s v="Bangalore"/>
    <d v="2025-01-12T00:00:00"/>
    <n v="22"/>
    <s v="Slow"/>
    <s v="Delivered"/>
    <n v="0"/>
    <n v="1"/>
    <s v="Yes"/>
    <n v="1"/>
    <s v="Quality Defect"/>
    <d v="2025-02-08T00:00:00"/>
    <s v="Processed"/>
  </r>
  <r>
    <s v="UT-100310"/>
    <d v="2024-12-22T00:00:00"/>
    <x v="2"/>
    <n v="51"/>
    <s v="Sunday"/>
    <x v="11"/>
    <s v="Saturday"/>
    <s v="CUST_10309"/>
    <x v="0"/>
    <s v="TOP-XMS-M"/>
    <s v="Tops"/>
    <s v="Christmas Spirit Top"/>
    <n v="1999"/>
    <n v="1"/>
    <n v="1999"/>
    <s v="Dec20"/>
    <n v="20"/>
    <n v="99.95"/>
    <n v="1899.05"/>
    <x v="3"/>
    <x v="0"/>
    <s v="Pune"/>
    <s v="Maharashtra"/>
    <s v="Mumbai"/>
    <d v="2025-01-13T00:00:00"/>
    <n v="22"/>
    <s v="Slow"/>
    <s v="Delivered"/>
    <n v="0"/>
    <n v="1"/>
    <s v="No"/>
    <n v="0"/>
    <s v=""/>
    <m/>
    <s v="Not Applicable"/>
  </r>
  <r>
    <s v="UT-100311"/>
    <d v="2024-12-22T00:00:00"/>
    <x v="2"/>
    <n v="51"/>
    <s v="Sunday"/>
    <x v="11"/>
    <s v="Saturday"/>
    <s v="CUST_10310"/>
    <x v="0"/>
    <s v="DRS-NYR-L"/>
    <s v="Dresses"/>
    <s v="New Year Ready Dress"/>
    <n v="4699"/>
    <n v="1"/>
    <n v="4699"/>
    <s v=""/>
    <n v="0"/>
    <n v="0"/>
    <n v="4699"/>
    <x v="1"/>
    <x v="1"/>
    <s v="Ahmedabad"/>
    <s v="Gujarat"/>
    <s v="Mumbai"/>
    <d v="2025-01-14T00:00:00"/>
    <n v="23"/>
    <s v="Slow"/>
    <s v="Delivered"/>
    <n v="0"/>
    <n v="1"/>
    <s v="Yes"/>
    <n v="1"/>
    <s v="Size Issue"/>
    <d v="2025-02-11T00:00:00"/>
    <s v="Processed"/>
  </r>
  <r>
    <s v="UT-100312"/>
    <d v="2024-12-22T00:00:00"/>
    <x v="2"/>
    <n v="51"/>
    <s v="Sunday"/>
    <x v="11"/>
    <s v="Saturday"/>
    <s v="CUST_10311"/>
    <x v="0"/>
    <s v="BOT-HLD-S"/>
    <s v="Bottoms"/>
    <s v="Holiday Special Pants"/>
    <n v="2299"/>
    <n v="1"/>
    <n v="2299"/>
    <s v=""/>
    <n v="0"/>
    <n v="0"/>
    <n v="2299"/>
    <x v="0"/>
    <x v="2"/>
    <s v="Jaipur"/>
    <s v="Rajasthan"/>
    <s v="Delhi"/>
    <d v="2025-01-14T00:00:00"/>
    <n v="23"/>
    <s v="Slow"/>
    <s v="Delivered"/>
    <n v="0"/>
    <n v="1"/>
    <s v="No"/>
    <n v="0"/>
    <s v=""/>
    <m/>
    <s v="Not Applicable"/>
  </r>
  <r>
    <s v="UT-100313"/>
    <d v="2024-12-22T00:00:00"/>
    <x v="2"/>
    <n v="51"/>
    <s v="Sunday"/>
    <x v="11"/>
    <s v="Saturday"/>
    <s v="CUST_10312"/>
    <x v="0"/>
    <s v="OUT-CEL-M"/>
    <s v="Outerwear"/>
    <s v="Celebrate Blazer"/>
    <n v="5399"/>
    <n v="1"/>
    <n v="5399"/>
    <s v="Dec20"/>
    <n v="20"/>
    <n v="269.95"/>
    <n v="5129.05"/>
    <x v="2"/>
    <x v="0"/>
    <s v="Lucknow"/>
    <s v="Uttar Pradesh"/>
    <s v="Delhi"/>
    <d v="2025-01-15T00:00:00"/>
    <n v="24"/>
    <s v="Slow"/>
    <s v="Delivered"/>
    <n v="0"/>
    <n v="1"/>
    <s v="Yes"/>
    <n v="1"/>
    <s v="Wrong Item"/>
    <d v="2025-02-12T00:00:00"/>
    <s v="Processed"/>
  </r>
  <r>
    <s v="UT-100314"/>
    <d v="2024-12-23T00:00:00"/>
    <x v="2"/>
    <n v="52"/>
    <s v="Monday"/>
    <x v="12"/>
    <s v="Sunday"/>
    <s v="CUST_10313"/>
    <x v="1"/>
    <s v="ACC-WRM-OS"/>
    <s v="Accessories"/>
    <s v="Warm Wishes Scarf"/>
    <n v="1199"/>
    <n v="1"/>
    <n v="1199"/>
    <s v=""/>
    <n v="0"/>
    <n v="0"/>
    <n v="1199"/>
    <x v="4"/>
    <x v="1"/>
    <s v="Bangalore"/>
    <s v="Karnataka"/>
    <s v="Bangalore"/>
    <d v="2025-01-14T00:00:00"/>
    <n v="22"/>
    <s v="Slow"/>
    <s v="Delivered"/>
    <n v="0"/>
    <n v="1"/>
    <s v="No"/>
    <n v="0"/>
    <s v=""/>
    <m/>
    <s v="Not Applicable"/>
  </r>
  <r>
    <s v="UT-100315"/>
    <d v="2024-12-23T00:00:00"/>
    <x v="2"/>
    <n v="52"/>
    <s v="Monday"/>
    <x v="12"/>
    <s v="Sunday"/>
    <s v="CUST_10314"/>
    <x v="0"/>
    <s v="TOP-FLK-L"/>
    <s v="Tops"/>
    <s v="Snowflake Top"/>
    <n v="2199"/>
    <n v="1"/>
    <n v="2199"/>
    <s v=""/>
    <n v="0"/>
    <n v="0"/>
    <n v="2199"/>
    <x v="3"/>
    <x v="2"/>
    <s v="Mumbai"/>
    <s v="Maharashtra"/>
    <s v="Mumbai"/>
    <d v="2025-01-15T00:00:00"/>
    <n v="23"/>
    <s v="Slow"/>
    <s v="Delivered"/>
    <n v="0"/>
    <n v="1"/>
    <s v="Yes"/>
    <n v="1"/>
    <s v="Damaged in Transit"/>
    <d v="2025-02-11T00:00:00"/>
    <s v="Processed"/>
  </r>
  <r>
    <s v="UT-100316"/>
    <d v="2024-12-23T00:00:00"/>
    <x v="2"/>
    <n v="52"/>
    <s v="Monday"/>
    <x v="12"/>
    <s v="Sunday"/>
    <s v="CUST_10315"/>
    <x v="0"/>
    <s v="DRS-SPR-S"/>
    <s v="Dresses"/>
    <s v="Sparkle Season Dress"/>
    <n v="3799"/>
    <n v="1"/>
    <n v="3799"/>
    <s v="Dec20"/>
    <n v="20"/>
    <n v="189.95"/>
    <n v="3609.05"/>
    <x v="1"/>
    <x v="0"/>
    <s v="Delhi"/>
    <s v="Delhi"/>
    <s v="Delhi"/>
    <d v="2025-01-16T00:00:00"/>
    <n v="24"/>
    <s v="Slow"/>
    <s v="Delivered"/>
    <n v="0"/>
    <n v="1"/>
    <s v="Yes"/>
    <n v="1"/>
    <s v="Size Issue"/>
    <d v="2025-02-13T00:00:00"/>
    <s v="Processed"/>
  </r>
  <r>
    <s v="UT-100317"/>
    <d v="2024-12-23T00:00:00"/>
    <x v="2"/>
    <n v="52"/>
    <s v="Monday"/>
    <x v="12"/>
    <s v="Sunday"/>
    <s v="CUST_10316"/>
    <x v="0"/>
    <s v="BOT-CHR-M"/>
    <s v="Bottoms"/>
    <s v="Cheer Pants"/>
    <n v="2499"/>
    <n v="1"/>
    <n v="2499"/>
    <s v=""/>
    <n v="0"/>
    <n v="0"/>
    <n v="2499"/>
    <x v="0"/>
    <x v="1"/>
    <s v="Chandigarh"/>
    <s v="Punjab"/>
    <s v="Delhi"/>
    <d v="2025-01-16T00:00:00"/>
    <n v="24"/>
    <s v="Slow"/>
    <s v="Delivered"/>
    <n v="0"/>
    <n v="1"/>
    <s v="No"/>
    <n v="0"/>
    <s v=""/>
    <m/>
    <s v="Not Applicable"/>
  </r>
  <r>
    <s v="UT-100318"/>
    <d v="2024-12-24T00:00:00"/>
    <x v="2"/>
    <n v="52"/>
    <s v="Tuesday"/>
    <x v="12"/>
    <s v="Monday"/>
    <s v="CUST_10317"/>
    <x v="0"/>
    <s v="OUT-XMS-L"/>
    <s v="Outerwear"/>
    <s v="Christmas Coat"/>
    <n v="6499"/>
    <n v="1"/>
    <n v="6499"/>
    <s v=""/>
    <n v="0"/>
    <n v="0"/>
    <n v="6499"/>
    <x v="2"/>
    <x v="2"/>
    <s v="Noida"/>
    <s v="Uttar Pradesh"/>
    <s v="Delhi"/>
    <d v="2025-01-17T00:00:00"/>
    <n v="24"/>
    <s v="Slow"/>
    <s v="Delivered"/>
    <n v="0"/>
    <n v="1"/>
    <s v="Yes"/>
    <n v="1"/>
    <s v="Changed Mind"/>
    <d v="2025-02-14T00:00:00"/>
    <s v="Processed"/>
  </r>
  <r>
    <s v="UT-100319"/>
    <d v="2024-12-24T00:00:00"/>
    <x v="2"/>
    <n v="52"/>
    <s v="Tuesday"/>
    <x v="12"/>
    <s v="Monday"/>
    <s v="CUST_10318"/>
    <x v="1"/>
    <s v="ACC-BEL-OS"/>
    <s v="Accessories"/>
    <s v="Bell Earrings"/>
    <n v="499"/>
    <n v="3"/>
    <n v="1497"/>
    <s v="Dec20"/>
    <n v="20"/>
    <n v="74.849999999999994"/>
    <n v="1422.15"/>
    <x v="4"/>
    <x v="0"/>
    <s v="Gurgaon"/>
    <s v="Haryana"/>
    <s v="Delhi"/>
    <d v="2025-01-16T00:00:00"/>
    <n v="23"/>
    <s v="Slow"/>
    <s v="Delivered"/>
    <n v="0"/>
    <n v="1"/>
    <s v="No"/>
    <n v="0"/>
    <s v=""/>
    <m/>
    <s v="Not Applicable"/>
  </r>
  <r>
    <s v="UT-100320"/>
    <d v="2024-12-24T00:00:00"/>
    <x v="2"/>
    <n v="52"/>
    <s v="Tuesday"/>
    <x v="12"/>
    <s v="Monday"/>
    <s v="CUST_10319"/>
    <x v="0"/>
    <s v="TOP-RDR-M"/>
    <s v="Tops"/>
    <s v="Reindeer Top"/>
    <n v="1799"/>
    <n v="1"/>
    <n v="1799"/>
    <s v=""/>
    <n v="0"/>
    <n v="0"/>
    <n v="1799"/>
    <x v="3"/>
    <x v="1"/>
    <s v="Indore"/>
    <s v="Madhya Pradesh"/>
    <s v="Mumbai"/>
    <d v="2025-01-17T00:00:00"/>
    <n v="24"/>
    <s v="Slow"/>
    <s v="Delivered"/>
    <n v="0"/>
    <n v="1"/>
    <s v="Yes"/>
    <n v="1"/>
    <s v="Quality Defect"/>
    <d v="2025-02-13T00:00:00"/>
    <s v="Processed"/>
  </r>
  <r>
    <s v="UT-100321"/>
    <d v="2024-12-24T00:00:00"/>
    <x v="2"/>
    <n v="52"/>
    <s v="Tuesday"/>
    <x v="12"/>
    <s v="Monday"/>
    <s v="CUST_10320"/>
    <x v="0"/>
    <s v="DRS-STR-L"/>
    <s v="Dresses"/>
    <s v="Star Bright Dress"/>
    <n v="4299"/>
    <n v="1"/>
    <n v="4299"/>
    <s v=""/>
    <n v="0"/>
    <n v="0"/>
    <n v="4299"/>
    <x v="1"/>
    <x v="2"/>
    <s v="Surat"/>
    <s v="Gujarat"/>
    <s v="Mumbai"/>
    <d v="2025-01-18T00:00:00"/>
    <n v="25"/>
    <s v="Slow"/>
    <s v="Delivered"/>
    <n v="0"/>
    <n v="1"/>
    <s v="Yes"/>
    <n v="1"/>
    <s v="Size Issue"/>
    <d v="2025-02-15T00:00:00"/>
    <s v="Processed"/>
  </r>
  <r>
    <s v="UT-100322"/>
    <d v="2024-12-25T00:00:00"/>
    <x v="2"/>
    <n v="52"/>
    <s v="Wednesday"/>
    <x v="12"/>
    <s v="Tuesday"/>
    <s v="CUST_10321"/>
    <x v="0"/>
    <s v="BOT-MRY-S"/>
    <s v="Bottoms"/>
    <s v="Merry Leggings"/>
    <n v="1899"/>
    <n v="1"/>
    <n v="1899"/>
    <s v="Dec20"/>
    <n v="20"/>
    <n v="94.95"/>
    <n v="1804.05"/>
    <x v="0"/>
    <x v="0"/>
    <s v="Patna"/>
    <s v="Bihar"/>
    <s v="Delhi"/>
    <d v="2025-01-18T00:00:00"/>
    <n v="24"/>
    <s v="Slow"/>
    <s v="Delivered"/>
    <n v="0"/>
    <n v="1"/>
    <s v="No"/>
    <n v="0"/>
    <s v=""/>
    <m/>
    <s v="Not Applicable"/>
  </r>
  <r>
    <s v="UT-100323"/>
    <d v="2024-12-25T00:00:00"/>
    <x v="2"/>
    <n v="52"/>
    <s v="Wednesday"/>
    <x v="12"/>
    <s v="Tuesday"/>
    <s v="CUST_10322"/>
    <x v="0"/>
    <s v="OUT-JOL-M"/>
    <s v="Outerwear"/>
    <s v="Jolly Jacket"/>
    <n v="4999"/>
    <n v="1"/>
    <n v="4999"/>
    <s v=""/>
    <n v="0"/>
    <n v="0"/>
    <n v="4999"/>
    <x v="2"/>
    <x v="1"/>
    <s v="Bhopal"/>
    <s v="Madhya Pradesh"/>
    <s v="Mumbai"/>
    <d v="2025-01-19T00:00:00"/>
    <n v="25"/>
    <s v="Slow"/>
    <s v="Delivered"/>
    <n v="0"/>
    <n v="1"/>
    <s v="Yes"/>
    <n v="1"/>
    <s v="Wrong Item"/>
    <d v="2025-02-16T00:00:00"/>
    <s v="Processed"/>
  </r>
  <r>
    <s v="UT-100324"/>
    <d v="2024-12-25T00:00:00"/>
    <x v="2"/>
    <n v="52"/>
    <s v="Wednesday"/>
    <x v="12"/>
    <s v="Tuesday"/>
    <s v="CUST_10323"/>
    <x v="1"/>
    <s v="ACC-GFT-OS"/>
    <s v="Accessories"/>
    <s v="Gift Box Clutch"/>
    <n v="1399"/>
    <n v="1"/>
    <n v="1399"/>
    <s v=""/>
    <n v="0"/>
    <n v="0"/>
    <n v="1399"/>
    <x v="4"/>
    <x v="2"/>
    <s v="Nagpur"/>
    <s v="Maharashtra"/>
    <s v="Mumbai"/>
    <d v="2025-01-18T00:00:00"/>
    <n v="24"/>
    <s v="Slow"/>
    <s v="Delivered"/>
    <n v="0"/>
    <n v="1"/>
    <s v="No"/>
    <n v="0"/>
    <s v=""/>
    <m/>
    <s v="Not Applicable"/>
  </r>
  <r>
    <s v="UT-100325"/>
    <d v="2024-12-25T00:00:00"/>
    <x v="2"/>
    <n v="52"/>
    <s v="Wednesday"/>
    <x v="12"/>
    <s v="Tuesday"/>
    <s v="CUST_10324"/>
    <x v="0"/>
    <s v="TOP-HLY-L"/>
    <s v="Tops"/>
    <s v="Holly Top"/>
    <n v="2099"/>
    <n v="1"/>
    <n v="2099"/>
    <s v="Dec20"/>
    <n v="20"/>
    <n v="104.95"/>
    <n v="1994.05"/>
    <x v="3"/>
    <x v="0"/>
    <s v="Coimbatore"/>
    <s v="Tamil Nadu"/>
    <s v="Bangalore"/>
    <d v="2025-01-19T00:00:00"/>
    <n v="25"/>
    <s v="Slow"/>
    <s v="Delivered"/>
    <n v="0"/>
    <n v="1"/>
    <s v="Yes"/>
    <n v="1"/>
    <s v="Damaged in Transit"/>
    <d v="2025-02-15T00:00:00"/>
    <s v="Processed"/>
  </r>
  <r>
    <s v="UT-100326"/>
    <d v="2024-12-26T00:00:00"/>
    <x v="2"/>
    <n v="52"/>
    <s v="Thursday"/>
    <x v="12"/>
    <s v="Wednesday"/>
    <s v="CUST_10325"/>
    <x v="0"/>
    <s v="DRS-BOX-S"/>
    <s v="Dresses"/>
    <s v="Boxing Day Dress"/>
    <n v="2999"/>
    <n v="1"/>
    <n v="2999"/>
    <s v=""/>
    <n v="0"/>
    <n v="0"/>
    <n v="2999"/>
    <x v="1"/>
    <x v="1"/>
    <s v="Kochi"/>
    <s v="Kerala"/>
    <s v="Bangalore"/>
    <d v="2025-01-20T00:00:00"/>
    <n v="25"/>
    <s v="Slow"/>
    <s v="Delivered"/>
    <n v="0"/>
    <n v="1"/>
    <s v="Yes"/>
    <n v="1"/>
    <s v="Size Issue"/>
    <d v="2025-02-17T00:00:00"/>
    <s v="Processed"/>
  </r>
  <r>
    <s v="UT-100327"/>
    <d v="2024-12-26T00:00:00"/>
    <x v="2"/>
    <n v="52"/>
    <s v="Thursday"/>
    <x v="12"/>
    <s v="Wednesday"/>
    <s v="CUST_10326"/>
    <x v="0"/>
    <s v="BOT-SLE-M"/>
    <s v="Bottoms"/>
    <s v="Sale Season Pants"/>
    <n v="2199"/>
    <n v="1"/>
    <n v="2199"/>
    <s v=""/>
    <n v="0"/>
    <n v="0"/>
    <n v="2199"/>
    <x v="0"/>
    <x v="2"/>
    <s v="Vizag"/>
    <s v="Andhra Pradesh"/>
    <s v="Bangalore"/>
    <d v="2025-01-20T00:00:00"/>
    <n v="25"/>
    <s v="Slow"/>
    <s v="Delivered"/>
    <n v="0"/>
    <n v="1"/>
    <s v="No"/>
    <n v="0"/>
    <s v=""/>
    <m/>
    <s v="Not Applicable"/>
  </r>
  <r>
    <s v="UT-100328"/>
    <d v="2024-12-26T00:00:00"/>
    <x v="2"/>
    <n v="52"/>
    <s v="Thursday"/>
    <x v="12"/>
    <s v="Wednesday"/>
    <s v="CUST_10327"/>
    <x v="0"/>
    <s v="OUT-SAL-L"/>
    <s v="Outerwear"/>
    <s v="Sale Special Coat"/>
    <n v="5999"/>
    <n v="1"/>
    <n v="5999"/>
    <s v="Dec20"/>
    <n v="20"/>
    <n v="299.95"/>
    <n v="5699.05"/>
    <x v="2"/>
    <x v="0"/>
    <s v="Thiruvananthapuram"/>
    <s v="Kerala"/>
    <s v="Bangalore"/>
    <d v="2025-01-21T00:00:00"/>
    <n v="26"/>
    <s v="Slow"/>
    <s v="Delivered"/>
    <n v="0"/>
    <n v="1"/>
    <s v="Yes"/>
    <n v="1"/>
    <s v="Changed Mind"/>
    <d v="2025-02-18T00:00:00"/>
    <s v="Processed"/>
  </r>
  <r>
    <s v="UT-100329"/>
    <d v="2024-12-26T00:00:00"/>
    <x v="2"/>
    <n v="52"/>
    <s v="Thursday"/>
    <x v="12"/>
    <s v="Wednesday"/>
    <s v="CUST_10328"/>
    <x v="1"/>
    <s v="ACC-DIS-OS"/>
    <s v="Accessories"/>
    <s v="Discount Find Bag"/>
    <n v="1299"/>
    <n v="1"/>
    <n v="1299"/>
    <s v=""/>
    <n v="0"/>
    <n v="0"/>
    <n v="1299"/>
    <x v="4"/>
    <x v="1"/>
    <s v="Mysore"/>
    <s v="Karnataka"/>
    <s v="Bangalore"/>
    <d v="2025-01-20T00:00:00"/>
    <n v="25"/>
    <s v="Slow"/>
    <s v="Delivered"/>
    <n v="0"/>
    <n v="1"/>
    <s v="Yes"/>
    <n v="1"/>
    <s v="Quality Defect"/>
    <d v="2025-02-16T00:00:00"/>
    <s v="Processed"/>
  </r>
  <r>
    <s v="UT-100330"/>
    <d v="2024-12-27T00:00:00"/>
    <x v="2"/>
    <n v="52"/>
    <s v="Friday"/>
    <x v="12"/>
    <s v="Thursday"/>
    <s v="CUST_10329"/>
    <x v="0"/>
    <s v="TOP-CLR-M"/>
    <s v="Tops"/>
    <s v="Clearance Top"/>
    <n v="999"/>
    <n v="2"/>
    <n v="1998"/>
    <s v=""/>
    <n v="0"/>
    <n v="0"/>
    <n v="1998"/>
    <x v="3"/>
    <x v="2"/>
    <s v="Vadodara"/>
    <s v="Gujarat"/>
    <s v="Mumbai"/>
    <d v="2025-01-21T00:00:00"/>
    <n v="25"/>
    <s v="Slow"/>
    <s v="Delivered"/>
    <n v="0"/>
    <n v="1"/>
    <s v="No"/>
    <n v="0"/>
    <s v=""/>
    <m/>
    <s v="Not Applicable"/>
  </r>
  <r>
    <s v="UT-100331"/>
    <d v="2024-12-27T00:00:00"/>
    <x v="2"/>
    <n v="52"/>
    <s v="Friday"/>
    <x v="12"/>
    <s v="Thursday"/>
    <s v="CUST_10330"/>
    <x v="0"/>
    <s v="DRS-END-L"/>
    <s v="Dresses"/>
    <s v="Year End Dress"/>
    <n v="3499"/>
    <n v="1"/>
    <n v="3499"/>
    <s v="Dec20"/>
    <n v="20"/>
    <n v="174.95"/>
    <n v="3324.05"/>
    <x v="1"/>
    <x v="0"/>
    <s v="Rajkot"/>
    <s v="Gujarat"/>
    <s v="Mumbai"/>
    <d v="2025-01-22T00:00:00"/>
    <n v="26"/>
    <s v="Slow"/>
    <s v="Delivered"/>
    <n v="0"/>
    <n v="1"/>
    <s v="Yes"/>
    <n v="1"/>
    <s v="Size Issue"/>
    <d v="2025-02-19T00:00:00"/>
    <s v="Processed"/>
  </r>
  <r>
    <s v="UT-100332"/>
    <d v="2024-12-27T00:00:00"/>
    <x v="2"/>
    <n v="52"/>
    <s v="Friday"/>
    <x v="12"/>
    <s v="Thursday"/>
    <s v="CUST_10331"/>
    <x v="0"/>
    <s v="BOT-FNL-S"/>
    <s v="Bottoms"/>
    <s v="Final Sale Pants"/>
    <n v="1799"/>
    <n v="1"/>
    <n v="1799"/>
    <s v=""/>
    <n v="0"/>
    <n v="0"/>
    <n v="1799"/>
    <x v="0"/>
    <x v="1"/>
    <s v="Kanpur"/>
    <s v="Uttar Pradesh"/>
    <s v="Delhi"/>
    <d v="2025-01-22T00:00:00"/>
    <n v="26"/>
    <s v="Slow"/>
    <s v="Delivered"/>
    <n v="0"/>
    <n v="1"/>
    <s v="No"/>
    <n v="0"/>
    <s v=""/>
    <m/>
    <s v="Not Applicable"/>
  </r>
  <r>
    <s v="UT-100333"/>
    <d v="2024-12-27T00:00:00"/>
    <x v="2"/>
    <n v="52"/>
    <s v="Friday"/>
    <x v="12"/>
    <s v="Thursday"/>
    <s v="CUST_10332"/>
    <x v="0"/>
    <s v="OUT-LST-M"/>
    <s v="Outerwear"/>
    <s v="Last Chance Jacket"/>
    <n v="4599"/>
    <n v="1"/>
    <n v="4599"/>
    <s v=""/>
    <n v="0"/>
    <n v="0"/>
    <n v="4599"/>
    <x v="2"/>
    <x v="2"/>
    <s v="Mumbai"/>
    <s v="Maharashtra"/>
    <s v="Mumbai"/>
    <d v="2025-01-23T00:00:00"/>
    <n v="27"/>
    <s v="Slow"/>
    <s v="Delivered"/>
    <n v="0"/>
    <n v="1"/>
    <s v="Yes"/>
    <n v="1"/>
    <s v="Wrong Item"/>
    <d v="2025-02-20T00:00:00"/>
    <s v="Processed"/>
  </r>
  <r>
    <s v="UT-100334"/>
    <d v="2024-12-28T00:00:00"/>
    <x v="2"/>
    <n v="52"/>
    <s v="Saturday"/>
    <x v="12"/>
    <s v="Friday"/>
    <s v="CUST_10333"/>
    <x v="1"/>
    <s v="ACC-NWY-OS"/>
    <s v="Accessories"/>
    <s v="New Year Tiara"/>
    <n v="799"/>
    <n v="1"/>
    <n v="799"/>
    <s v="Dec20"/>
    <n v="20"/>
    <n v="39.950000000000003"/>
    <n v="759.05"/>
    <x v="4"/>
    <x v="0"/>
    <s v="Delhi"/>
    <s v="Delhi"/>
    <s v="Delhi"/>
    <d v="2025-01-22T00:00:00"/>
    <n v="25"/>
    <s v="Slow"/>
    <s v="Delivered"/>
    <n v="0"/>
    <n v="1"/>
    <s v="No"/>
    <n v="0"/>
    <s v=""/>
    <m/>
    <s v="Not Applicable"/>
  </r>
  <r>
    <s v="UT-100335"/>
    <d v="2024-12-28T00:00:00"/>
    <x v="2"/>
    <n v="52"/>
    <s v="Saturday"/>
    <x v="12"/>
    <s v="Friday"/>
    <s v="CUST_10334"/>
    <x v="0"/>
    <s v="TOP-BYE-L"/>
    <s v="Tops"/>
    <s v="Goodbye 2024 Top"/>
    <n v="1899"/>
    <n v="1"/>
    <n v="1899"/>
    <s v=""/>
    <n v="0"/>
    <n v="0"/>
    <n v="1899"/>
    <x v="3"/>
    <x v="1"/>
    <s v="Kolkata"/>
    <s v="West Bengal"/>
    <s v="Delhi"/>
    <d v="2025-01-23T00:00:00"/>
    <n v="26"/>
    <s v="Slow"/>
    <s v="Delivered"/>
    <n v="0"/>
    <n v="1"/>
    <s v="Yes"/>
    <n v="1"/>
    <s v="Damaged in Transit"/>
    <d v="2025-02-19T00:00:00"/>
    <s v="Processed"/>
  </r>
  <r>
    <s v="UT-100336"/>
    <d v="2024-12-28T00:00:00"/>
    <x v="2"/>
    <n v="52"/>
    <s v="Saturday"/>
    <x v="12"/>
    <s v="Friday"/>
    <s v="CUST_10335"/>
    <x v="0"/>
    <s v="DRS-WLC-S"/>
    <s v="Dresses"/>
    <s v="Welcome 2025 Dress"/>
    <n v="4099"/>
    <n v="1"/>
    <n v="4099"/>
    <s v=""/>
    <n v="0"/>
    <n v="0"/>
    <n v="4099"/>
    <x v="1"/>
    <x v="2"/>
    <s v="Chennai"/>
    <s v="Tamil Nadu"/>
    <s v="Bangalore"/>
    <d v="2025-01-24T00:00:00"/>
    <n v="27"/>
    <s v="Slow"/>
    <s v="Delivered"/>
    <n v="0"/>
    <n v="1"/>
    <s v="Yes"/>
    <n v="1"/>
    <s v="Size Issue"/>
    <d v="2025-02-21T00:00:00"/>
    <s v="Processed"/>
  </r>
  <r>
    <s v="UT-100337"/>
    <d v="2024-12-28T00:00:00"/>
    <x v="2"/>
    <n v="52"/>
    <s v="Saturday"/>
    <x v="12"/>
    <s v="Friday"/>
    <s v="CUST_10336"/>
    <x v="0"/>
    <s v="BOT-RES-M"/>
    <s v="Bottoms"/>
    <s v="Resolution Pants"/>
    <n v="2299"/>
    <n v="1"/>
    <n v="2299"/>
    <s v="Dec20"/>
    <n v="20"/>
    <n v="114.95"/>
    <n v="2184.0500000000002"/>
    <x v="0"/>
    <x v="0"/>
    <s v="Hyderabad"/>
    <s v="Telangana"/>
    <s v="Bangalore"/>
    <d v="2025-01-24T00:00:00"/>
    <n v="27"/>
    <s v="Slow"/>
    <s v="Delivered"/>
    <n v="0"/>
    <n v="1"/>
    <s v="No"/>
    <n v="0"/>
    <s v=""/>
    <m/>
    <s v="Not Applicable"/>
  </r>
  <r>
    <s v="UT-100338"/>
    <d v="2024-12-29T00:00:00"/>
    <x v="2"/>
    <n v="52"/>
    <s v="Sunday"/>
    <x v="12"/>
    <s v="Saturday"/>
    <s v="CUST_10337"/>
    <x v="0"/>
    <s v="OUT-HOP-L"/>
    <s v="Outerwear"/>
    <s v="Hope Coat"/>
    <n v="5799"/>
    <n v="1"/>
    <n v="5799"/>
    <s v=""/>
    <n v="0"/>
    <n v="0"/>
    <n v="5799"/>
    <x v="2"/>
    <x v="1"/>
    <s v="Pune"/>
    <s v="Maharashtra"/>
    <s v="Mumbai"/>
    <d v="2025-01-25T00:00:00"/>
    <n v="27"/>
    <s v="Slow"/>
    <s v="Delivered"/>
    <n v="0"/>
    <n v="1"/>
    <s v="Yes"/>
    <n v="1"/>
    <s v="Changed Mind"/>
    <d v="2025-02-22T00:00:00"/>
    <s v="Processed"/>
  </r>
  <r>
    <s v="UT-100339"/>
    <d v="2024-12-29T00:00:00"/>
    <x v="2"/>
    <n v="52"/>
    <s v="Sunday"/>
    <x v="12"/>
    <s v="Saturday"/>
    <s v="CUST_10338"/>
    <x v="1"/>
    <s v="ACC-DRM-OS"/>
    <s v="Accessories"/>
    <s v="Dream Catcher Earrings"/>
    <n v="699"/>
    <n v="2"/>
    <n v="1398"/>
    <s v=""/>
    <n v="0"/>
    <n v="0"/>
    <n v="1398"/>
    <x v="4"/>
    <x v="2"/>
    <s v="Ahmedabad"/>
    <s v="Gujarat"/>
    <s v="Mumbai"/>
    <d v="2025-01-24T00:00:00"/>
    <n v="26"/>
    <s v="Slow"/>
    <s v="Delivered"/>
    <n v="0"/>
    <n v="1"/>
    <s v="Yes"/>
    <n v="1"/>
    <s v="Quality Defect"/>
    <d v="2025-02-20T00:00:00"/>
    <s v="Processed"/>
  </r>
  <r>
    <s v="UT-100340"/>
    <d v="2024-12-29T00:00:00"/>
    <x v="2"/>
    <n v="52"/>
    <s v="Sunday"/>
    <x v="12"/>
    <s v="Saturday"/>
    <s v="CUST_10340"/>
    <x v="0"/>
    <s v="TOP-WIS-M"/>
    <s v="Tops"/>
    <s v="Wishes Top"/>
    <n v="1999"/>
    <n v="1"/>
    <n v="1999"/>
    <s v="Dec20"/>
    <n v="20"/>
    <n v="99.95"/>
    <n v="1899.05"/>
    <x v="3"/>
    <x v="0"/>
    <s v="Jaipur"/>
    <s v="Rajasthan"/>
    <s v="Delhi"/>
    <d v="2025-01-25T00:00:00"/>
    <n v="27"/>
    <s v="Slow"/>
    <s v="Delivered"/>
    <n v="0"/>
    <n v="1"/>
    <s v="No"/>
    <n v="0"/>
    <s v=""/>
    <m/>
    <s v="Not Applicable"/>
  </r>
  <r>
    <s v="UT-100341"/>
    <d v="2024-12-29T00:00:00"/>
    <x v="2"/>
    <n v="52"/>
    <s v="Sunday"/>
    <x v="12"/>
    <s v="Saturday"/>
    <s v="CUST_10340"/>
    <x v="0"/>
    <s v="DRS-PRO-L"/>
    <s v="Dresses"/>
    <s v="Promise Dress"/>
    <n v="3899"/>
    <n v="1"/>
    <n v="3899"/>
    <s v=""/>
    <n v="0"/>
    <n v="0"/>
    <n v="3899"/>
    <x v="1"/>
    <x v="1"/>
    <s v="Lucknow"/>
    <s v="Uttar Pradesh"/>
    <s v="Delhi"/>
    <d v="2025-01-26T00:00:00"/>
    <n v="28"/>
    <s v="Slow"/>
    <s v="Delivered"/>
    <n v="0"/>
    <n v="1"/>
    <s v="Yes"/>
    <n v="1"/>
    <s v="Size Issue"/>
    <d v="2025-02-23T00:00:00"/>
    <s v="Processed"/>
  </r>
  <r>
    <s v="UT-100342"/>
    <d v="2024-12-30T00:00:00"/>
    <x v="2"/>
    <n v="53"/>
    <s v="Monday"/>
    <x v="13"/>
    <s v="Sunday"/>
    <s v="CUST_10341"/>
    <x v="0"/>
    <s v="BOT-NEW-S"/>
    <s v="Bottoms"/>
    <s v="New Beginning Pants"/>
    <n v="2099"/>
    <n v="1"/>
    <n v="2099"/>
    <s v=""/>
    <n v="0"/>
    <n v="0"/>
    <n v="2099"/>
    <x v="0"/>
    <x v="2"/>
    <s v="Bangalore"/>
    <s v="Karnataka"/>
    <s v="Bangalore"/>
    <d v="2025-01-26T00:00:00"/>
    <n v="27"/>
    <s v="Slow"/>
    <s v="Delivered"/>
    <n v="0"/>
    <n v="1"/>
    <s v="No"/>
    <n v="0"/>
    <s v=""/>
    <m/>
    <s v="Not Applicable"/>
  </r>
  <r>
    <s v="UT-100343"/>
    <d v="2024-12-30T00:00:00"/>
    <x v="2"/>
    <n v="53"/>
    <s v="Monday"/>
    <x v="13"/>
    <s v="Sunday"/>
    <s v="CUST_10342"/>
    <x v="0"/>
    <s v="OUT-FRE-M"/>
    <s v="Outerwear"/>
    <s v="Fresh Start Jacket"/>
    <n v="4899"/>
    <n v="1"/>
    <n v="4899"/>
    <s v="Dec20"/>
    <n v="20"/>
    <n v="244.95"/>
    <n v="4654.05"/>
    <x v="2"/>
    <x v="0"/>
    <s v="Mumbai"/>
    <s v="Maharashtra"/>
    <s v="Mumbai"/>
    <d v="2025-01-27T00:00:00"/>
    <n v="28"/>
    <s v="Slow"/>
    <s v="Delivered"/>
    <n v="0"/>
    <n v="1"/>
    <s v="Yes"/>
    <n v="1"/>
    <s v="Wrong Item"/>
    <d v="2025-02-24T00:00:00"/>
    <s v="Processed"/>
  </r>
  <r>
    <s v="UT-100344"/>
    <d v="2024-12-30T00:00:00"/>
    <x v="2"/>
    <n v="53"/>
    <s v="Monday"/>
    <x v="13"/>
    <s v="Sunday"/>
    <s v="CUST_10343"/>
    <x v="1"/>
    <s v="ACC-LCK-OS"/>
    <s v="Accessories"/>
    <s v="Lucky Charm Bracelet"/>
    <n v="599"/>
    <n v="3"/>
    <n v="1797"/>
    <s v=""/>
    <n v="0"/>
    <n v="0"/>
    <n v="1797"/>
    <x v="4"/>
    <x v="1"/>
    <s v="Delhi"/>
    <s v="Delhi"/>
    <s v="Delhi"/>
    <d v="2025-01-26T00:00:00"/>
    <n v="27"/>
    <s v="Slow"/>
    <s v="Delivered"/>
    <n v="0"/>
    <n v="1"/>
    <s v="No"/>
    <n v="0"/>
    <s v=""/>
    <m/>
    <s v="Not Applicable"/>
  </r>
  <r>
    <s v="UT-100345"/>
    <d v="2024-12-30T00:00:00"/>
    <x v="2"/>
    <n v="53"/>
    <s v="Monday"/>
    <x v="13"/>
    <s v="Sunday"/>
    <s v="CUST_10344"/>
    <x v="0"/>
    <s v="TOP-BEG-L"/>
    <s v="Tops"/>
    <s v="Begin Again Top"/>
    <n v="2199"/>
    <n v="1"/>
    <n v="2199"/>
    <s v=""/>
    <n v="0"/>
    <n v="0"/>
    <n v="2199"/>
    <x v="3"/>
    <x v="2"/>
    <s v="Chandigarh"/>
    <s v="Punjab"/>
    <s v="Delhi"/>
    <d v="2025-01-27T00:00:00"/>
    <n v="28"/>
    <s v="Slow"/>
    <s v="Delivered"/>
    <n v="0"/>
    <n v="1"/>
    <s v="Yes"/>
    <n v="1"/>
    <s v="Damaged in Transit"/>
    <d v="2025-02-23T00:00:00"/>
    <s v="Processed"/>
  </r>
  <r>
    <s v="UT-100346"/>
    <d v="2024-12-31T00:00:00"/>
    <x v="2"/>
    <n v="53"/>
    <s v="Tuesday"/>
    <x v="13"/>
    <s v="Monday"/>
    <s v="CUST_10345"/>
    <x v="0"/>
    <s v="DRS-CNT-S"/>
    <s v="Dresses"/>
    <s v="Countdown Dress"/>
    <n v="4499"/>
    <n v="1"/>
    <n v="4499"/>
    <s v="Dec20"/>
    <n v="20"/>
    <n v="224.95"/>
    <n v="4274.05"/>
    <x v="1"/>
    <x v="0"/>
    <s v="Noida"/>
    <s v="Uttar Pradesh"/>
    <s v="Delhi"/>
    <d v="2025-01-28T00:00:00"/>
    <n v="28"/>
    <s v="Slow"/>
    <s v="Delivered"/>
    <n v="0"/>
    <n v="1"/>
    <s v="Yes"/>
    <n v="1"/>
    <s v="Size Issue"/>
    <d v="2025-02-25T00:00:00"/>
    <s v="Process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72661C-F564-4415-9ED6-D76CB3B7A9EE}" name="PivotTable5"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K17:N22" firstHeaderRow="1" firstDataRow="2" firstDataCol="1"/>
  <pivotFields count="38">
    <pivotField showAll="0"/>
    <pivotField numFmtId="14" showAll="0"/>
    <pivotField axis="axisRow"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axis="axisCol" showAll="0">
      <items count="3">
        <item x="0"/>
        <item x="1"/>
        <item t="default"/>
      </items>
    </pivotField>
    <pivotField showAll="0"/>
    <pivotField showAll="0"/>
    <pivotField showAll="0"/>
    <pivotField numFmtId="44" showAll="0"/>
    <pivotField showAll="0"/>
    <pivotField numFmtId="44" showAll="0"/>
    <pivotField showAll="0"/>
    <pivotField dataField="1" showAll="0"/>
    <pivotField numFmtId="2" showAll="0"/>
    <pivotField numFmtId="44"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8"/>
  </colFields>
  <colItems count="3">
    <i>
      <x/>
    </i>
    <i>
      <x v="1"/>
    </i>
    <i t="grand">
      <x/>
    </i>
  </colItems>
  <dataFields count="1">
    <dataField name="Average of Discount(%)" fld="16" subtotal="average" baseField="2" baseItem="0" numFmtId="2"/>
  </dataFields>
  <chartFormats count="2">
    <chartFormat chart="10" format="2" series="1">
      <pivotArea type="data" outline="0" fieldPosition="0">
        <references count="2">
          <reference field="4294967294" count="1" selected="0">
            <x v="0"/>
          </reference>
          <reference field="8" count="1" selected="0">
            <x v="0"/>
          </reference>
        </references>
      </pivotArea>
    </chartFormat>
    <chartFormat chart="10"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4BDCBD-D7C2-4074-A186-F1CDC710ADE9}" name="PivotTable4"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F17:I22" firstHeaderRow="1" firstDataRow="2" firstDataCol="1"/>
  <pivotFields count="38">
    <pivotField showAll="0"/>
    <pivotField numFmtId="14" showAll="0"/>
    <pivotField axis="axisRow"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axis="axisCol" showAll="0">
      <items count="3">
        <item x="0"/>
        <item x="1"/>
        <item t="default"/>
      </items>
    </pivotField>
    <pivotField showAll="0"/>
    <pivotField showAll="0"/>
    <pivotField showAll="0"/>
    <pivotField numFmtId="44" showAll="0"/>
    <pivotField showAll="0"/>
    <pivotField numFmtId="44" showAll="0"/>
    <pivotField showAll="0"/>
    <pivotField showAll="0"/>
    <pivotField numFmtId="2" showAll="0"/>
    <pivotField dataField="1" numFmtId="44"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8"/>
  </colFields>
  <colItems count="3">
    <i>
      <x/>
    </i>
    <i>
      <x v="1"/>
    </i>
    <i t="grand">
      <x/>
    </i>
  </colItems>
  <dataFields count="1">
    <dataField name="Sum of Price After Discount" fld="18" baseField="2" baseItem="0" numFmtId="44"/>
  </dataFields>
  <chartFormats count="2">
    <chartFormat chart="4" format="2" series="1">
      <pivotArea type="data" outline="0" fieldPosition="0">
        <references count="2">
          <reference field="4294967294" count="1" selected="0">
            <x v="0"/>
          </reference>
          <reference field="8" count="1" selected="0">
            <x v="0"/>
          </reference>
        </references>
      </pivotArea>
    </chartFormat>
    <chartFormat chart="4"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1480AC-0A3B-49B0-9F9D-C69AF4418BFC}" name="PivotTable3"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17:D22" firstHeaderRow="1" firstDataRow="2" firstDataCol="1"/>
  <pivotFields count="38">
    <pivotField showAll="0"/>
    <pivotField numFmtId="14" showAll="0"/>
    <pivotField axis="axisRow"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dataField="1" showAll="0"/>
    <pivotField axis="axisCol" showAll="0">
      <items count="3">
        <item x="0"/>
        <item x="1"/>
        <item t="default"/>
      </items>
    </pivotField>
    <pivotField showAll="0"/>
    <pivotField showAll="0"/>
    <pivotField showAll="0"/>
    <pivotField numFmtId="44" showAll="0"/>
    <pivotField showAll="0"/>
    <pivotField numFmtId="44" showAll="0"/>
    <pivotField showAll="0"/>
    <pivotField showAll="0"/>
    <pivotField numFmtId="2" showAll="0"/>
    <pivotField numFmtId="44"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8"/>
  </colFields>
  <colItems count="3">
    <i>
      <x/>
    </i>
    <i>
      <x v="1"/>
    </i>
    <i t="grand">
      <x/>
    </i>
  </colItems>
  <dataFields count="1">
    <dataField name="Count of Customer ID" fld="7" subtotal="count" baseField="0" baseItem="0"/>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8806BE-AF73-454C-83F9-F28171A598E7}" name="PivotTable43" cacheId="1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01:D104" firstHeaderRow="1" firstDataRow="2" firstDataCol="1"/>
  <pivotFields count="38">
    <pivotField showAll="0"/>
    <pivotField numFmtId="14"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3">
        <item x="0"/>
        <item x="1"/>
        <item t="default"/>
      </items>
    </pivotField>
    <pivotField showAll="0"/>
    <pivotField showAll="0"/>
    <pivotField showAll="0"/>
    <pivotField numFmtId="44" showAll="0"/>
    <pivotField showAll="0"/>
    <pivotField numFmtId="44" showAll="0"/>
    <pivotField showAll="0"/>
    <pivotField showAll="0"/>
    <pivotField numFmtId="2" showAll="0"/>
    <pivotField numFmtId="44" showAll="0"/>
    <pivotField showAll="0">
      <items count="6">
        <item x="2"/>
        <item x="1"/>
        <item x="3"/>
        <item x="0"/>
        <item x="4"/>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2">
    <i>
      <x/>
    </i>
    <i>
      <x v="1"/>
    </i>
  </rowItems>
  <colFields count="1">
    <field x="20"/>
  </colFields>
  <colItems count="3">
    <i>
      <x/>
    </i>
    <i>
      <x v="1"/>
    </i>
    <i>
      <x v="2"/>
    </i>
  </colItems>
  <dataFields count="1">
    <dataField name="% of Row Total" fld="31" showDataAs="percentOfTotal" baseField="0" baseItem="0" numFmtId="1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3">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C7377E-DC22-40EC-9CB9-C41510842AE2}" autoFormatId="16" applyNumberFormats="0" applyBorderFormats="0" applyFontFormats="0" applyPatternFormats="0" applyAlignmentFormats="0" applyWidthHeightFormats="0">
  <queryTableRefresh nextId="38">
    <queryTableFields count="35">
      <queryTableField id="1" name="Order ID" tableColumnId="1"/>
      <queryTableField id="2" name="Order Date" tableColumnId="2"/>
      <queryTableField id="24" dataBound="0" tableColumnId="47"/>
      <queryTableField id="32" dataBound="0" tableColumnId="25"/>
      <queryTableField id="33" dataBound="0" tableColumnId="26"/>
      <queryTableField id="30" dataBound="0" tableColumnId="53"/>
      <queryTableField id="31" dataBound="0" tableColumnId="24"/>
      <queryTableField id="3" name="Customer ID" tableColumnId="3"/>
      <queryTableField id="4" name="Type" tableColumnId="4"/>
      <queryTableField id="5" name="SKU" tableColumnId="5"/>
      <queryTableField id="6" name="Category" tableColumnId="6"/>
      <queryTableField id="7" name="Product Name" tableColumnId="7"/>
      <queryTableField id="8" name="Unit Price" tableColumnId="8"/>
      <queryTableField id="9" name="Qty" tableColumnId="9"/>
      <queryTableField id="10" name="Total" tableColumnId="10"/>
      <queryTableField id="11" name="Discount Code" tableColumnId="11"/>
      <queryTableField id="12" name="Discount(%)" tableColumnId="12"/>
      <queryTableField id="26" dataBound="0" tableColumnId="49"/>
      <queryTableField id="25" dataBound="0" tableColumnId="48"/>
      <queryTableField id="13" name="Payment" tableColumnId="13"/>
      <queryTableField id="14" name="Source" tableColumnId="14"/>
      <queryTableField id="15" name="City" tableColumnId="15"/>
      <queryTableField id="16" name="State" tableColumnId="16"/>
      <queryTableField id="17" name="Warehouse" tableColumnId="17"/>
      <queryTableField id="18" name="Del Date" tableColumnId="18"/>
      <queryTableField id="27" dataBound="0" tableColumnId="50"/>
      <queryTableField id="28" dataBound="0" tableColumnId="51"/>
      <queryTableField id="19" name="Status" tableColumnId="19"/>
      <queryTableField id="37" dataBound="0" tableColumnId="30"/>
      <queryTableField id="34" dataBound="0" tableColumnId="27"/>
      <queryTableField id="20" name="Return?" tableColumnId="20"/>
      <queryTableField id="35" dataBound="0" tableColumnId="28"/>
      <queryTableField id="21" name="Reason" tableColumnId="21"/>
      <queryTableField id="22" name="Ret Rec" tableColumnId="22"/>
      <queryTableField id="23" name="Refund"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10496-3102-4C7D-A7CF-86C89D87F0FC}" name="Data_Analyst_Intern_Nikhil_Kumar_February2026" displayName="Data_Analyst_Intern_Nikhil_Kumar_February2026" ref="A1:AI347" tableType="queryTable" totalsRowShown="0">
  <autoFilter ref="A1:AI347" xr:uid="{12F10496-3102-4C7D-A7CF-86C89D87F0FC}"/>
  <tableColumns count="35">
    <tableColumn id="1" xr3:uid="{153EE043-811E-4868-A706-B7068C807337}" uniqueName="1" name="Order ID" queryTableFieldId="1" dataDxfId="32"/>
    <tableColumn id="2" xr3:uid="{9734C367-2B56-4023-BBFC-EE8A39E4853A}" uniqueName="2" name="Order Date" queryTableFieldId="2" dataDxfId="14"/>
    <tableColumn id="47" xr3:uid="{8F9F0916-4E46-4B44-BBE3-1103679074BF}" uniqueName="47" name="Month" queryTableFieldId="24" dataDxfId="13">
      <calculatedColumnFormula>TEXT(Data_Analyst_Intern_Nikhil_Kumar_February2026[[#This Row],[Order Date]], "mmmm")</calculatedColumnFormula>
    </tableColumn>
    <tableColumn id="25" xr3:uid="{B145C96E-6396-444A-852C-DE0A90858B98}" uniqueName="25" name="Week" queryTableFieldId="32" dataDxfId="12">
      <calculatedColumnFormula>WEEKNUM(Data_Analyst_Intern_Nikhil_Kumar_February2026[[#This Row],[Order Date]],2)</calculatedColumnFormula>
    </tableColumn>
    <tableColumn id="26" xr3:uid="{81DA3EEE-CDF2-411A-A9D9-8A9F9FFAAB7C}" uniqueName="26" name="Weekday" queryTableFieldId="33" dataDxfId="3">
      <calculatedColumnFormula>TEXT(Data_Analyst_Intern_Nikhil_Kumar_February2026[[#This Row],[Order Date]],"dddd")</calculatedColumnFormula>
    </tableColumn>
    <tableColumn id="53" xr3:uid="{8EAB84F6-9B51-46D3-9708-49FBEC0250F4}" uniqueName="53" name="Week Start Date" queryTableFieldId="30" dataDxfId="1"/>
    <tableColumn id="24" xr3:uid="{6C7520FB-3596-4BD0-A591-8A658B8A64C2}" uniqueName="24" name="WeekDay2" queryTableFieldId="31" dataDxfId="2"/>
    <tableColumn id="3" xr3:uid="{4F57A306-FC2B-464A-AFAA-29E85400FE94}" uniqueName="3" name="Customer ID" queryTableFieldId="3" dataDxfId="17"/>
    <tableColumn id="4" xr3:uid="{AFC6F9BE-685C-4C3D-B327-54A84E64DD69}" uniqueName="4" name="Type" queryTableFieldId="4" dataDxfId="31"/>
    <tableColumn id="5" xr3:uid="{8E426251-41C8-46D7-ACB8-34062C15B517}" uniqueName="5" name="SKU" queryTableFieldId="5" dataDxfId="30"/>
    <tableColumn id="6" xr3:uid="{10DE4F20-526C-4D3F-9777-6D2E865949E8}" uniqueName="6" name="Category" queryTableFieldId="6" dataDxfId="29"/>
    <tableColumn id="7" xr3:uid="{9573233B-6FE6-4EB8-BC60-3DB77AD04922}" uniqueName="7" name="Product Name" queryTableFieldId="7" dataDxfId="28"/>
    <tableColumn id="8" xr3:uid="{BCB39932-6816-4747-AB38-462864AA0C55}" uniqueName="8" name="Unit Price" queryTableFieldId="8" dataDxfId="11"/>
    <tableColumn id="9" xr3:uid="{9D5301BD-0F78-4977-8C83-F3377D67A7B2}" uniqueName="9" name="Qty" queryTableFieldId="9"/>
    <tableColumn id="10" xr3:uid="{E8D324F1-F7A2-43CF-B0CA-A800DDB78425}" uniqueName="10" name="Total" queryTableFieldId="10" dataDxfId="10"/>
    <tableColumn id="11" xr3:uid="{FBD5CBC4-1413-446D-A2E3-5EDEF707093F}" uniqueName="11" name="Discount Code" queryTableFieldId="11" dataDxfId="27"/>
    <tableColumn id="12" xr3:uid="{BB2658A9-40A3-4D04-A087-987A1C941E6A}" uniqueName="12" name="Discount(%)" queryTableFieldId="12"/>
    <tableColumn id="49" xr3:uid="{2F1E81C3-DAC6-4AFB-83C0-2E55E5E7A0C7}" uniqueName="49" name="Discount Amount" queryTableFieldId="26" dataDxfId="9">
      <calculatedColumnFormula>IFERROR(Data_Analyst_Intern_Nikhil_Kumar_February2026[[#This Row],[Total]]/Data_Analyst_Intern_Nikhil_Kumar_February2026[[#This Row],[Discount(%)]],0)</calculatedColumnFormula>
    </tableColumn>
    <tableColumn id="48" xr3:uid="{B0048459-EA99-417A-B353-98736579C5FF}" uniqueName="48" name="Price After Discount" queryTableFieldId="25" dataDxfId="8">
      <calculatedColumnFormula>Data_Analyst_Intern_Nikhil_Kumar_February2026[[#This Row],[Total]]-Data_Analyst_Intern_Nikhil_Kumar_February2026[[#This Row],[Discount Amount]]</calculatedColumnFormula>
    </tableColumn>
    <tableColumn id="13" xr3:uid="{ECB698A5-B608-400A-B0C0-38F6EB81A9D7}" uniqueName="13" name="Payment" queryTableFieldId="13" dataDxfId="26"/>
    <tableColumn id="14" xr3:uid="{2D49112A-6D31-4637-8526-89B2ECD4D7DC}" uniqueName="14" name="Source" queryTableFieldId="14" dataDxfId="25"/>
    <tableColumn id="15" xr3:uid="{800F67BF-A060-49C9-ABFF-E7B395D4E764}" uniqueName="15" name="City" queryTableFieldId="15" dataDxfId="24"/>
    <tableColumn id="16" xr3:uid="{CF1D5555-0C6B-4934-9752-D7B35633E587}" uniqueName="16" name="State" queryTableFieldId="16" dataDxfId="23"/>
    <tableColumn id="17" xr3:uid="{518216CE-5FD4-487B-AAE7-0930137584D4}" uniqueName="17" name="Warehouse" queryTableFieldId="17" dataDxfId="22"/>
    <tableColumn id="18" xr3:uid="{F63CC46A-7FEE-4BED-A201-ED2F5A3B7059}" uniqueName="18" name="Del Date" queryTableFieldId="18" dataDxfId="7"/>
    <tableColumn id="50" xr3:uid="{A8DDECF4-E8FD-455F-A2A9-4119F8655F2F}" uniqueName="50" name="Del Days" queryTableFieldId="27" dataDxfId="6">
      <calculatedColumnFormula>Data_Analyst_Intern_Nikhil_Kumar_February2026[[#This Row],[Del Date]]-Data_Analyst_Intern_Nikhil_Kumar_February2026[[#This Row],[Order Date]]</calculatedColumnFormula>
    </tableColumn>
    <tableColumn id="51" xr3:uid="{2EC23E9C-A099-4286-AA87-576BC7709FEC}" uniqueName="51" name="Del Days Category" queryTableFieldId="28" dataDxfId="5">
      <calculatedColumnFormula array="1">_xlfn.IFS(Data_Analyst_Intern_Nikhil_Kumar_February2026[[#This Row],[Del Days]]&lt;=7,"Fast",Data_Analyst_Intern_Nikhil_Kumar_February2026[[#This Row],[Del Days]]&lt;=15,"Standard",Data_Analyst_Intern_Nikhil_Kumar_February2026[[#This Row],[Del Days]]&gt;15,"Slow")</calculatedColumnFormula>
    </tableColumn>
    <tableColumn id="19" xr3:uid="{200EAD54-7E0B-4EEC-B999-1312CA9CB904}" uniqueName="19" name="Status" queryTableFieldId="19" dataDxfId="21"/>
    <tableColumn id="30" xr3:uid="{4295A50F-73FD-469A-B9C3-DBE0FBB24BEB}" uniqueName="30" name="RTO Flag" queryTableFieldId="37" dataDxfId="0">
      <calculatedColumnFormula>IF(Data_Analyst_Intern_Nikhil_Kumar_February2026[[#This Row],[Status]]="RTO", 1,0)</calculatedColumnFormula>
    </tableColumn>
    <tableColumn id="27" xr3:uid="{593FC259-9437-4193-B515-4A7A76A82FEF}" uniqueName="27" name="Delivered Flag" queryTableFieldId="34" dataDxfId="16">
      <calculatedColumnFormula>IF(Data_Analyst_Intern_Nikhil_Kumar_February2026[[#This Row],[Status]]="Delivered",1,0)</calculatedColumnFormula>
    </tableColumn>
    <tableColumn id="20" xr3:uid="{D2D1C619-AED4-4EAE-A40B-EBAA56BF3F5A}" uniqueName="20" name="Return?" queryTableFieldId="20" dataDxfId="20"/>
    <tableColumn id="28" xr3:uid="{BD99FCED-25E1-497D-95A3-BE529D7DB7A6}" uniqueName="28" name="Return Flag" queryTableFieldId="35" dataDxfId="15">
      <calculatedColumnFormula>IF(AND(Data_Analyst_Intern_Nikhil_Kumar_February2026[[#This Row],[Status]]="Delivered",Data_Analyst_Intern_Nikhil_Kumar_February2026[[#This Row],[Return?]]="Yes"),1,0)</calculatedColumnFormula>
    </tableColumn>
    <tableColumn id="21" xr3:uid="{96C2F47B-9E85-4524-80BE-302AA27A7C86}" uniqueName="21" name="Reason" queryTableFieldId="21" dataDxfId="19"/>
    <tableColumn id="22" xr3:uid="{8D867826-D6C1-4606-8C7C-E1B7573A198E}" uniqueName="22" name="Ret Rec" queryTableFieldId="22" dataDxfId="4"/>
    <tableColumn id="23" xr3:uid="{843E9D28-DFE5-40AD-8BA1-F320F4C54C90}" uniqueName="23" name="Refund" queryTableFieldId="23"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BA3B-2048-45BD-B83C-F8E2D01090A1}">
  <dimension ref="A1:AK347"/>
  <sheetViews>
    <sheetView topLeftCell="V1" zoomScale="130" zoomScaleNormal="130" workbookViewId="0">
      <selection activeCell="AC3" sqref="AC3"/>
    </sheetView>
  </sheetViews>
  <sheetFormatPr defaultRowHeight="14.4" x14ac:dyDescent="0.3"/>
  <cols>
    <col min="1" max="1" width="10.44140625" bestFit="1" customWidth="1"/>
    <col min="2" max="2" width="12.44140625" bestFit="1" customWidth="1"/>
    <col min="3" max="3" width="9.5546875" bestFit="1" customWidth="1"/>
    <col min="4" max="4" width="8.109375" bestFit="1" customWidth="1"/>
    <col min="5" max="5" width="11.21875" bestFit="1" customWidth="1"/>
    <col min="6" max="6" width="17.109375" bestFit="1" customWidth="1"/>
    <col min="7" max="7" width="12.5546875" bestFit="1" customWidth="1"/>
    <col min="8" max="8" width="14" bestFit="1" customWidth="1"/>
    <col min="9" max="9" width="8.88671875" bestFit="1" customWidth="1"/>
    <col min="10" max="10" width="13.33203125" bestFit="1" customWidth="1"/>
    <col min="11" max="11" width="11" bestFit="1" customWidth="1"/>
    <col min="12" max="12" width="21.77734375" bestFit="1" customWidth="1"/>
    <col min="13" max="13" width="11.44140625" bestFit="1" customWidth="1"/>
    <col min="14" max="14" width="6.33203125" bestFit="1" customWidth="1"/>
    <col min="15" max="15" width="10.77734375" bestFit="1" customWidth="1"/>
    <col min="16" max="16" width="16" bestFit="1" customWidth="1"/>
    <col min="17" max="17" width="14" bestFit="1" customWidth="1"/>
    <col min="18" max="18" width="18.33203125" bestFit="1" customWidth="1"/>
    <col min="19" max="19" width="20.5546875" bestFit="1" customWidth="1"/>
    <col min="20" max="20" width="10.88671875" bestFit="1" customWidth="1"/>
    <col min="21" max="21" width="13.88671875" bestFit="1" customWidth="1"/>
    <col min="22" max="22" width="18.33203125" bestFit="1" customWidth="1"/>
    <col min="23" max="23" width="16.21875" bestFit="1" customWidth="1"/>
    <col min="24" max="24" width="13.109375" bestFit="1" customWidth="1"/>
    <col min="25" max="25" width="11" bestFit="1" customWidth="1"/>
    <col min="26" max="26" width="10.77734375" bestFit="1" customWidth="1"/>
    <col min="27" max="27" width="18.88671875" bestFit="1" customWidth="1"/>
    <col min="28" max="28" width="9.77734375" bestFit="1" customWidth="1"/>
    <col min="29" max="29" width="9.77734375" customWidth="1"/>
    <col min="30" max="30" width="15.109375" bestFit="1" customWidth="1"/>
    <col min="31" max="31" width="10" bestFit="1" customWidth="1"/>
    <col min="32" max="32" width="12.77734375" bestFit="1" customWidth="1"/>
    <col min="33" max="33" width="16.77734375" bestFit="1" customWidth="1"/>
    <col min="34" max="34" width="11" bestFit="1" customWidth="1"/>
    <col min="35" max="35" width="13.33203125" bestFit="1" customWidth="1"/>
    <col min="37" max="37" width="10.109375" bestFit="1" customWidth="1"/>
    <col min="38" max="38" width="5" bestFit="1" customWidth="1"/>
  </cols>
  <sheetData>
    <row r="1" spans="1:37" x14ac:dyDescent="0.3">
      <c r="A1" t="s">
        <v>0</v>
      </c>
      <c r="B1" t="s">
        <v>1</v>
      </c>
      <c r="C1" t="s">
        <v>1479</v>
      </c>
      <c r="D1" t="s">
        <v>1504</v>
      </c>
      <c r="E1" t="s">
        <v>1520</v>
      </c>
      <c r="F1" t="s">
        <v>1519</v>
      </c>
      <c r="G1" t="s">
        <v>1521</v>
      </c>
      <c r="H1" t="s">
        <v>2</v>
      </c>
      <c r="I1" t="s">
        <v>3</v>
      </c>
      <c r="J1" t="s">
        <v>4</v>
      </c>
      <c r="K1" t="s">
        <v>5</v>
      </c>
      <c r="L1" t="s">
        <v>6</v>
      </c>
      <c r="M1" t="s">
        <v>7</v>
      </c>
      <c r="N1" t="s">
        <v>8</v>
      </c>
      <c r="O1" t="s">
        <v>9</v>
      </c>
      <c r="P1" t="s">
        <v>10</v>
      </c>
      <c r="Q1" t="s">
        <v>11</v>
      </c>
      <c r="R1" t="s">
        <v>1481</v>
      </c>
      <c r="S1" t="s">
        <v>1480</v>
      </c>
      <c r="T1" t="s">
        <v>12</v>
      </c>
      <c r="U1" t="s">
        <v>13</v>
      </c>
      <c r="V1" t="s">
        <v>14</v>
      </c>
      <c r="W1" t="s">
        <v>15</v>
      </c>
      <c r="X1" t="s">
        <v>16</v>
      </c>
      <c r="Y1" t="s">
        <v>17</v>
      </c>
      <c r="Z1" t="s">
        <v>1482</v>
      </c>
      <c r="AA1" t="s">
        <v>1483</v>
      </c>
      <c r="AB1" t="s">
        <v>18</v>
      </c>
      <c r="AC1" t="s">
        <v>1626</v>
      </c>
      <c r="AD1" t="s">
        <v>1522</v>
      </c>
      <c r="AE1" t="s">
        <v>19</v>
      </c>
      <c r="AF1" t="s">
        <v>1523</v>
      </c>
      <c r="AG1" t="s">
        <v>20</v>
      </c>
      <c r="AH1" t="s">
        <v>21</v>
      </c>
      <c r="AI1" t="s">
        <v>22</v>
      </c>
    </row>
    <row r="2" spans="1:37" x14ac:dyDescent="0.3">
      <c r="A2" t="s">
        <v>23</v>
      </c>
      <c r="B2" s="1">
        <v>45566</v>
      </c>
      <c r="C2" s="1" t="str">
        <f>TEXT(Data_Analyst_Intern_Nikhil_Kumar_February2026[[#This Row],[Order Date]], "mmmm")</f>
        <v>October</v>
      </c>
      <c r="D2" s="23">
        <f>WEEKNUM(Data_Analyst_Intern_Nikhil_Kumar_February2026[[#This Row],[Order Date]],2)</f>
        <v>40</v>
      </c>
      <c r="E2" s="23" t="str">
        <f>TEXT(Data_Analyst_Intern_Nikhil_Kumar_February2026[[#This Row],[Order Date]],"dddd")</f>
        <v>Tuesday</v>
      </c>
      <c r="F2" s="1">
        <v>45565</v>
      </c>
      <c r="G2" s="23" t="str">
        <f>TEXT(WEEKDAY(Data_Analyst_Intern_Nikhil_Kumar_February2026[[#This Row],[Order Date]],2), "dddd")</f>
        <v>Monday</v>
      </c>
      <c r="H2" t="s">
        <v>24</v>
      </c>
      <c r="I2" t="s">
        <v>25</v>
      </c>
      <c r="J2" t="s">
        <v>26</v>
      </c>
      <c r="K2" t="s">
        <v>27</v>
      </c>
      <c r="L2" t="s">
        <v>28</v>
      </c>
      <c r="M2" s="2">
        <v>1299</v>
      </c>
      <c r="N2">
        <v>2</v>
      </c>
      <c r="O2" s="2">
        <v>2598</v>
      </c>
      <c r="P2" t="s">
        <v>29</v>
      </c>
      <c r="Q2">
        <v>0</v>
      </c>
      <c r="R2" s="4">
        <f>IFERROR(Data_Analyst_Intern_Nikhil_Kumar_February2026[[#This Row],[Total]]/Data_Analyst_Intern_Nikhil_Kumar_February2026[[#This Row],[Discount(%)]],0)</f>
        <v>0</v>
      </c>
      <c r="S2" s="2">
        <f>Data_Analyst_Intern_Nikhil_Kumar_February2026[[#This Row],[Total]]-Data_Analyst_Intern_Nikhil_Kumar_February2026[[#This Row],[Discount Amount]]</f>
        <v>2598</v>
      </c>
      <c r="T2" t="s">
        <v>30</v>
      </c>
      <c r="U2" t="s">
        <v>31</v>
      </c>
      <c r="V2" t="s">
        <v>32</v>
      </c>
      <c r="W2" t="s">
        <v>33</v>
      </c>
      <c r="X2" t="s">
        <v>32</v>
      </c>
      <c r="Y2" s="1">
        <v>45570</v>
      </c>
      <c r="Z2" s="3">
        <f>Data_Analyst_Intern_Nikhil_Kumar_February2026[[#This Row],[Del Date]]-Data_Analyst_Intern_Nikhil_Kumar_February2026[[#This Row],[Order Date]]</f>
        <v>4</v>
      </c>
      <c r="AA2" s="3" t="str" cm="1">
        <f t="array" ref="AA2">_xlfn.IFS(Data_Analyst_Intern_Nikhil_Kumar_February2026[[#This Row],[Del Days]]&lt;=7,"Fast",Data_Analyst_Intern_Nikhil_Kumar_February2026[[#This Row],[Del Days]]&lt;=15,"Standard",Data_Analyst_Intern_Nikhil_Kumar_February2026[[#This Row],[Del Days]]&gt;15,"Slow")</f>
        <v>Fast</v>
      </c>
      <c r="AB2" t="s">
        <v>34</v>
      </c>
      <c r="AC2">
        <f>IF(Data_Analyst_Intern_Nikhil_Kumar_February2026[[#This Row],[Status]]="RTO", 1,0)</f>
        <v>0</v>
      </c>
      <c r="AD2">
        <f>IF(Data_Analyst_Intern_Nikhil_Kumar_February2026[[#This Row],[Status]]="Delivered",1,0)</f>
        <v>1</v>
      </c>
      <c r="AE2" t="s">
        <v>35</v>
      </c>
      <c r="AF2">
        <f>IF(AND(Data_Analyst_Intern_Nikhil_Kumar_February2026[[#This Row],[Status]]="Delivered",Data_Analyst_Intern_Nikhil_Kumar_February2026[[#This Row],[Return?]]="Yes"),1,0)</f>
        <v>0</v>
      </c>
      <c r="AG2" t="s">
        <v>29</v>
      </c>
      <c r="AI2" t="s">
        <v>36</v>
      </c>
    </row>
    <row r="3" spans="1:37" x14ac:dyDescent="0.3">
      <c r="A3" t="s">
        <v>37</v>
      </c>
      <c r="B3" s="1">
        <v>45566</v>
      </c>
      <c r="C3" s="1" t="str">
        <f>TEXT(Data_Analyst_Intern_Nikhil_Kumar_February2026[[#This Row],[Order Date]], "mmmm")</f>
        <v>October</v>
      </c>
      <c r="D3" s="23">
        <f>WEEKNUM(Data_Analyst_Intern_Nikhil_Kumar_February2026[[#This Row],[Order Date]],2)</f>
        <v>40</v>
      </c>
      <c r="E3" s="23" t="str">
        <f>TEXT(Data_Analyst_Intern_Nikhil_Kumar_February2026[[#This Row],[Order Date]],"dddd")</f>
        <v>Tuesday</v>
      </c>
      <c r="F3" s="1">
        <v>45565</v>
      </c>
      <c r="G3" s="23" t="str">
        <f>TEXT(WEEKDAY(Data_Analyst_Intern_Nikhil_Kumar_February2026[[#This Row],[Order Date]],2), "dddd")</f>
        <v>Monday</v>
      </c>
      <c r="H3" t="s">
        <v>38</v>
      </c>
      <c r="I3" t="s">
        <v>39</v>
      </c>
      <c r="J3" t="s">
        <v>40</v>
      </c>
      <c r="K3" t="s">
        <v>41</v>
      </c>
      <c r="L3" t="s">
        <v>42</v>
      </c>
      <c r="M3" s="2">
        <v>2499</v>
      </c>
      <c r="N3">
        <v>1</v>
      </c>
      <c r="O3" s="2">
        <v>2499</v>
      </c>
      <c r="P3" t="s">
        <v>43</v>
      </c>
      <c r="Q3">
        <v>20</v>
      </c>
      <c r="R3" s="4">
        <f>IFERROR(Data_Analyst_Intern_Nikhil_Kumar_February2026[[#This Row],[Total]]/Data_Analyst_Intern_Nikhil_Kumar_February2026[[#This Row],[Discount(%)]],0)</f>
        <v>124.95</v>
      </c>
      <c r="S3" s="2">
        <f>Data_Analyst_Intern_Nikhil_Kumar_February2026[[#This Row],[Total]]-Data_Analyst_Intern_Nikhil_Kumar_February2026[[#This Row],[Discount Amount]]</f>
        <v>2374.0500000000002</v>
      </c>
      <c r="T3" t="s">
        <v>44</v>
      </c>
      <c r="U3" t="s">
        <v>45</v>
      </c>
      <c r="V3" t="s">
        <v>46</v>
      </c>
      <c r="W3" t="s">
        <v>46</v>
      </c>
      <c r="X3" t="s">
        <v>46</v>
      </c>
      <c r="Y3" s="1">
        <v>45569</v>
      </c>
      <c r="Z3" s="3">
        <f>Data_Analyst_Intern_Nikhil_Kumar_February2026[[#This Row],[Del Date]]-Data_Analyst_Intern_Nikhil_Kumar_February2026[[#This Row],[Order Date]]</f>
        <v>3</v>
      </c>
      <c r="AA3" s="3" t="str" cm="1">
        <f t="array" ref="AA3">_xlfn.IFS(Data_Analyst_Intern_Nikhil_Kumar_February2026[[#This Row],[Del Days]]&lt;=7,"Fast",Data_Analyst_Intern_Nikhil_Kumar_February2026[[#This Row],[Del Days]]&lt;=15,"Standard",Data_Analyst_Intern_Nikhil_Kumar_February2026[[#This Row],[Del Days]]&gt;15,"Slow")</f>
        <v>Fast</v>
      </c>
      <c r="AB3" t="s">
        <v>34</v>
      </c>
      <c r="AC3">
        <f>IF(Data_Analyst_Intern_Nikhil_Kumar_February2026[[#This Row],[Status]]="RTO", 1,0)</f>
        <v>0</v>
      </c>
      <c r="AD3">
        <f>IF(Data_Analyst_Intern_Nikhil_Kumar_February2026[[#This Row],[Status]]="Delivered",1,0)</f>
        <v>1</v>
      </c>
      <c r="AE3" t="s">
        <v>47</v>
      </c>
      <c r="AF3">
        <f>IF(AND(Data_Analyst_Intern_Nikhil_Kumar_February2026[[#This Row],[Status]]="Delivered",Data_Analyst_Intern_Nikhil_Kumar_February2026[[#This Row],[Return?]]="Yes"),1,0)</f>
        <v>1</v>
      </c>
      <c r="AG3" t="s">
        <v>48</v>
      </c>
      <c r="AH3" s="1">
        <v>45580</v>
      </c>
      <c r="AI3" t="s">
        <v>49</v>
      </c>
    </row>
    <row r="4" spans="1:37" x14ac:dyDescent="0.3">
      <c r="A4" t="s">
        <v>50</v>
      </c>
      <c r="B4" s="1">
        <v>45575</v>
      </c>
      <c r="C4" s="1" t="str">
        <f>TEXT(Data_Analyst_Intern_Nikhil_Kumar_February2026[[#This Row],[Order Date]], "mmmm")</f>
        <v>October</v>
      </c>
      <c r="D4" s="23">
        <f>WEEKNUM(Data_Analyst_Intern_Nikhil_Kumar_February2026[[#This Row],[Order Date]],2)</f>
        <v>41</v>
      </c>
      <c r="E4" s="23" t="str">
        <f>TEXT(Data_Analyst_Intern_Nikhil_Kumar_February2026[[#This Row],[Order Date]],"dddd")</f>
        <v>Thursday</v>
      </c>
      <c r="F4" s="1">
        <v>45572</v>
      </c>
      <c r="G4" s="23" t="str">
        <f>TEXT(WEEKDAY(Data_Analyst_Intern_Nikhil_Kumar_February2026[[#This Row],[Order Date]],2), "dddd")</f>
        <v>Wednesday</v>
      </c>
      <c r="H4" t="s">
        <v>51</v>
      </c>
      <c r="I4" t="s">
        <v>52</v>
      </c>
      <c r="J4" t="s">
        <v>53</v>
      </c>
      <c r="K4" t="s">
        <v>54</v>
      </c>
      <c r="L4" t="s">
        <v>55</v>
      </c>
      <c r="M4" s="2">
        <v>1899</v>
      </c>
      <c r="N4">
        <v>1</v>
      </c>
      <c r="O4" s="2">
        <v>1899</v>
      </c>
      <c r="P4" t="s">
        <v>29</v>
      </c>
      <c r="Q4">
        <v>0</v>
      </c>
      <c r="R4" s="4">
        <f>IFERROR(Data_Analyst_Intern_Nikhil_Kumar_February2026[[#This Row],[Total]]/Data_Analyst_Intern_Nikhil_Kumar_February2026[[#This Row],[Discount(%)]],0)</f>
        <v>0</v>
      </c>
      <c r="S4" s="2">
        <f>Data_Analyst_Intern_Nikhil_Kumar_February2026[[#This Row],[Total]]-Data_Analyst_Intern_Nikhil_Kumar_February2026[[#This Row],[Discount Amount]]</f>
        <v>1899</v>
      </c>
      <c r="T4" t="s">
        <v>56</v>
      </c>
      <c r="U4" t="s">
        <v>31</v>
      </c>
      <c r="V4" t="s">
        <v>57</v>
      </c>
      <c r="W4" t="s">
        <v>58</v>
      </c>
      <c r="X4" t="s">
        <v>57</v>
      </c>
      <c r="Y4" s="1">
        <v>45571</v>
      </c>
      <c r="Z4" s="3">
        <f>Data_Analyst_Intern_Nikhil_Kumar_February2026[[#This Row],[Del Date]]-Data_Analyst_Intern_Nikhil_Kumar_February2026[[#This Row],[Order Date]]</f>
        <v>-4</v>
      </c>
      <c r="AA4" s="3" t="str" cm="1">
        <f t="array" ref="AA4">_xlfn.IFS(Data_Analyst_Intern_Nikhil_Kumar_February2026[[#This Row],[Del Days]]&lt;=7,"Fast",Data_Analyst_Intern_Nikhil_Kumar_February2026[[#This Row],[Del Days]]&lt;=15,"Standard",Data_Analyst_Intern_Nikhil_Kumar_February2026[[#This Row],[Del Days]]&gt;15,"Slow")</f>
        <v>Fast</v>
      </c>
      <c r="AB4" t="s">
        <v>34</v>
      </c>
      <c r="AC4">
        <f>IF(Data_Analyst_Intern_Nikhil_Kumar_February2026[[#This Row],[Status]]="RTO", 1,0)</f>
        <v>0</v>
      </c>
      <c r="AD4">
        <f>IF(Data_Analyst_Intern_Nikhil_Kumar_February2026[[#This Row],[Status]]="Delivered",1,0)</f>
        <v>1</v>
      </c>
      <c r="AE4" t="s">
        <v>35</v>
      </c>
      <c r="AF4">
        <f>IF(AND(Data_Analyst_Intern_Nikhil_Kumar_February2026[[#This Row],[Status]]="Delivered",Data_Analyst_Intern_Nikhil_Kumar_February2026[[#This Row],[Return?]]="Yes"),1,0)</f>
        <v>0</v>
      </c>
      <c r="AG4" t="s">
        <v>29</v>
      </c>
      <c r="AI4" t="s">
        <v>36</v>
      </c>
    </row>
    <row r="5" spans="1:37" x14ac:dyDescent="0.3">
      <c r="A5" t="s">
        <v>59</v>
      </c>
      <c r="B5" s="1">
        <v>45566</v>
      </c>
      <c r="C5" s="1" t="str">
        <f>TEXT(Data_Analyst_Intern_Nikhil_Kumar_February2026[[#This Row],[Order Date]], "mmmm")</f>
        <v>October</v>
      </c>
      <c r="D5" s="23">
        <f>WEEKNUM(Data_Analyst_Intern_Nikhil_Kumar_February2026[[#This Row],[Order Date]],2)</f>
        <v>40</v>
      </c>
      <c r="E5" s="23" t="str">
        <f>TEXT(Data_Analyst_Intern_Nikhil_Kumar_February2026[[#This Row],[Order Date]],"dddd")</f>
        <v>Tuesday</v>
      </c>
      <c r="F5" s="1">
        <v>45565</v>
      </c>
      <c r="G5" s="23" t="str">
        <f>TEXT(WEEKDAY(Data_Analyst_Intern_Nikhil_Kumar_February2026[[#This Row],[Order Date]],2), "dddd")</f>
        <v>Monday</v>
      </c>
      <c r="H5" t="s">
        <v>60</v>
      </c>
      <c r="I5" t="s">
        <v>25</v>
      </c>
      <c r="J5" t="s">
        <v>61</v>
      </c>
      <c r="K5" t="s">
        <v>62</v>
      </c>
      <c r="L5" t="s">
        <v>63</v>
      </c>
      <c r="M5" s="2">
        <v>3499</v>
      </c>
      <c r="N5">
        <v>1</v>
      </c>
      <c r="O5" s="2">
        <v>3499</v>
      </c>
      <c r="P5" t="s">
        <v>64</v>
      </c>
      <c r="Q5">
        <v>15</v>
      </c>
      <c r="R5" s="4">
        <f>IFERROR(Data_Analyst_Intern_Nikhil_Kumar_February2026[[#This Row],[Total]]/Data_Analyst_Intern_Nikhil_Kumar_February2026[[#This Row],[Discount(%)]],0)</f>
        <v>233.26666666666668</v>
      </c>
      <c r="S5" s="2">
        <f>Data_Analyst_Intern_Nikhil_Kumar_February2026[[#This Row],[Total]]-Data_Analyst_Intern_Nikhil_Kumar_February2026[[#This Row],[Discount Amount]]</f>
        <v>3265.7333333333331</v>
      </c>
      <c r="T5" t="s">
        <v>65</v>
      </c>
      <c r="U5" t="s">
        <v>66</v>
      </c>
      <c r="V5" t="s">
        <v>67</v>
      </c>
      <c r="W5" t="s">
        <v>68</v>
      </c>
      <c r="X5" t="s">
        <v>32</v>
      </c>
      <c r="Y5" s="1">
        <v>45573</v>
      </c>
      <c r="Z5" s="3">
        <f>Data_Analyst_Intern_Nikhil_Kumar_February2026[[#This Row],[Del Date]]-Data_Analyst_Intern_Nikhil_Kumar_February2026[[#This Row],[Order Date]]</f>
        <v>7</v>
      </c>
      <c r="AA5" s="3" t="str" cm="1">
        <f t="array" ref="AA5">_xlfn.IFS(Data_Analyst_Intern_Nikhil_Kumar_February2026[[#This Row],[Del Days]]&lt;=7,"Fast",Data_Analyst_Intern_Nikhil_Kumar_February2026[[#This Row],[Del Days]]&lt;=15,"Standard",Data_Analyst_Intern_Nikhil_Kumar_February2026[[#This Row],[Del Days]]&gt;15,"Slow")</f>
        <v>Fast</v>
      </c>
      <c r="AB5" t="s">
        <v>34</v>
      </c>
      <c r="AC5">
        <f>IF(Data_Analyst_Intern_Nikhil_Kumar_February2026[[#This Row],[Status]]="RTO", 1,0)</f>
        <v>0</v>
      </c>
      <c r="AD5">
        <f>IF(Data_Analyst_Intern_Nikhil_Kumar_February2026[[#This Row],[Status]]="Delivered",1,0)</f>
        <v>1</v>
      </c>
      <c r="AE5" t="s">
        <v>47</v>
      </c>
      <c r="AF5">
        <f>IF(AND(Data_Analyst_Intern_Nikhil_Kumar_February2026[[#This Row],[Status]]="Delivered",Data_Analyst_Intern_Nikhil_Kumar_February2026[[#This Row],[Return?]]="Yes"),1,0)</f>
        <v>1</v>
      </c>
      <c r="AG5" t="s">
        <v>69</v>
      </c>
      <c r="AH5" s="1">
        <v>45585</v>
      </c>
      <c r="AI5" t="s">
        <v>49</v>
      </c>
    </row>
    <row r="6" spans="1:37" x14ac:dyDescent="0.3">
      <c r="A6" t="s">
        <v>70</v>
      </c>
      <c r="B6" s="1">
        <v>45566</v>
      </c>
      <c r="C6" s="1" t="str">
        <f>TEXT(Data_Analyst_Intern_Nikhil_Kumar_February2026[[#This Row],[Order Date]], "mmmm")</f>
        <v>October</v>
      </c>
      <c r="D6" s="23">
        <f>WEEKNUM(Data_Analyst_Intern_Nikhil_Kumar_February2026[[#This Row],[Order Date]],2)</f>
        <v>40</v>
      </c>
      <c r="E6" s="23" t="str">
        <f>TEXT(Data_Analyst_Intern_Nikhil_Kumar_February2026[[#This Row],[Order Date]],"dddd")</f>
        <v>Tuesday</v>
      </c>
      <c r="F6" s="1">
        <v>45565</v>
      </c>
      <c r="G6" s="23" t="str">
        <f>TEXT(WEEKDAY(Data_Analyst_Intern_Nikhil_Kumar_February2026[[#This Row],[Order Date]],2), "dddd")</f>
        <v>Monday</v>
      </c>
      <c r="H6" t="s">
        <v>24</v>
      </c>
      <c r="I6" t="s">
        <v>25</v>
      </c>
      <c r="J6" t="s">
        <v>71</v>
      </c>
      <c r="K6" t="s">
        <v>72</v>
      </c>
      <c r="L6" t="s">
        <v>73</v>
      </c>
      <c r="M6" s="2">
        <v>799</v>
      </c>
      <c r="N6">
        <v>3</v>
      </c>
      <c r="O6" s="2">
        <v>2397</v>
      </c>
      <c r="P6" t="s">
        <v>29</v>
      </c>
      <c r="Q6">
        <v>0</v>
      </c>
      <c r="R6" s="4">
        <f>IFERROR(Data_Analyst_Intern_Nikhil_Kumar_February2026[[#This Row],[Total]]/Data_Analyst_Intern_Nikhil_Kumar_February2026[[#This Row],[Discount(%)]],0)</f>
        <v>0</v>
      </c>
      <c r="S6" s="2">
        <f>Data_Analyst_Intern_Nikhil_Kumar_February2026[[#This Row],[Total]]-Data_Analyst_Intern_Nikhil_Kumar_February2026[[#This Row],[Discount Amount]]</f>
        <v>2397</v>
      </c>
      <c r="T6" t="s">
        <v>30</v>
      </c>
      <c r="U6" t="s">
        <v>31</v>
      </c>
      <c r="V6" t="s">
        <v>32</v>
      </c>
      <c r="W6" t="s">
        <v>33</v>
      </c>
      <c r="X6" t="s">
        <v>32</v>
      </c>
      <c r="Y6" s="1">
        <v>45571</v>
      </c>
      <c r="Z6" s="3">
        <f>Data_Analyst_Intern_Nikhil_Kumar_February2026[[#This Row],[Del Date]]-Data_Analyst_Intern_Nikhil_Kumar_February2026[[#This Row],[Order Date]]</f>
        <v>5</v>
      </c>
      <c r="AA6" s="3" t="str" cm="1">
        <f t="array" ref="AA6">_xlfn.IFS(Data_Analyst_Intern_Nikhil_Kumar_February2026[[#This Row],[Del Days]]&lt;=7,"Fast",Data_Analyst_Intern_Nikhil_Kumar_February2026[[#This Row],[Del Days]]&lt;=15,"Standard",Data_Analyst_Intern_Nikhil_Kumar_February2026[[#This Row],[Del Days]]&gt;15,"Slow")</f>
        <v>Fast</v>
      </c>
      <c r="AB6" t="s">
        <v>34</v>
      </c>
      <c r="AC6">
        <f>IF(Data_Analyst_Intern_Nikhil_Kumar_February2026[[#This Row],[Status]]="RTO", 1,0)</f>
        <v>0</v>
      </c>
      <c r="AD6">
        <f>IF(Data_Analyst_Intern_Nikhil_Kumar_February2026[[#This Row],[Status]]="Delivered",1,0)</f>
        <v>1</v>
      </c>
      <c r="AE6" t="s">
        <v>35</v>
      </c>
      <c r="AF6">
        <f>IF(AND(Data_Analyst_Intern_Nikhil_Kumar_February2026[[#This Row],[Status]]="Delivered",Data_Analyst_Intern_Nikhil_Kumar_February2026[[#This Row],[Return?]]="Yes"),1,0)</f>
        <v>0</v>
      </c>
      <c r="AG6" t="s">
        <v>29</v>
      </c>
      <c r="AI6" t="s">
        <v>36</v>
      </c>
    </row>
    <row r="7" spans="1:37" x14ac:dyDescent="0.3">
      <c r="A7" t="s">
        <v>74</v>
      </c>
      <c r="B7" s="1">
        <v>45567</v>
      </c>
      <c r="C7" s="1" t="str">
        <f>TEXT(Data_Analyst_Intern_Nikhil_Kumar_February2026[[#This Row],[Order Date]], "mmmm")</f>
        <v>October</v>
      </c>
      <c r="D7" s="23">
        <f>WEEKNUM(Data_Analyst_Intern_Nikhil_Kumar_February2026[[#This Row],[Order Date]],2)</f>
        <v>40</v>
      </c>
      <c r="E7" s="23" t="str">
        <f>TEXT(Data_Analyst_Intern_Nikhil_Kumar_February2026[[#This Row],[Order Date]],"dddd")</f>
        <v>Wednesday</v>
      </c>
      <c r="F7" s="1">
        <v>45565</v>
      </c>
      <c r="G7" s="23" t="str">
        <f>TEXT(WEEKDAY(Data_Analyst_Intern_Nikhil_Kumar_February2026[[#This Row],[Order Date]],2), "dddd")</f>
        <v>Tuesday</v>
      </c>
      <c r="H7" t="s">
        <v>75</v>
      </c>
      <c r="I7" t="s">
        <v>39</v>
      </c>
      <c r="J7" t="s">
        <v>76</v>
      </c>
      <c r="K7" t="s">
        <v>27</v>
      </c>
      <c r="L7" t="s">
        <v>77</v>
      </c>
      <c r="M7" s="2">
        <v>1599</v>
      </c>
      <c r="N7">
        <v>2</v>
      </c>
      <c r="O7" s="2">
        <v>3198</v>
      </c>
      <c r="P7" t="s">
        <v>29</v>
      </c>
      <c r="Q7">
        <v>0</v>
      </c>
      <c r="R7" s="4">
        <f>IFERROR(Data_Analyst_Intern_Nikhil_Kumar_February2026[[#This Row],[Total]]/Data_Analyst_Intern_Nikhil_Kumar_February2026[[#This Row],[Discount(%)]],0)</f>
        <v>0</v>
      </c>
      <c r="S7" s="2">
        <f>Data_Analyst_Intern_Nikhil_Kumar_February2026[[#This Row],[Total]]-Data_Analyst_Intern_Nikhil_Kumar_February2026[[#This Row],[Discount Amount]]</f>
        <v>3198</v>
      </c>
      <c r="T7" t="s">
        <v>44</v>
      </c>
      <c r="U7" t="s">
        <v>45</v>
      </c>
      <c r="V7" t="s">
        <v>78</v>
      </c>
      <c r="W7" t="s">
        <v>79</v>
      </c>
      <c r="X7" t="s">
        <v>57</v>
      </c>
      <c r="Y7" s="1">
        <v>45572</v>
      </c>
      <c r="Z7" s="3">
        <f>Data_Analyst_Intern_Nikhil_Kumar_February2026[[#This Row],[Del Date]]-Data_Analyst_Intern_Nikhil_Kumar_February2026[[#This Row],[Order Date]]</f>
        <v>5</v>
      </c>
      <c r="AA7" s="3" t="str" cm="1">
        <f t="array" ref="AA7">_xlfn.IFS(Data_Analyst_Intern_Nikhil_Kumar_February2026[[#This Row],[Del Days]]&lt;=7,"Fast",Data_Analyst_Intern_Nikhil_Kumar_February2026[[#This Row],[Del Days]]&lt;=15,"Standard",Data_Analyst_Intern_Nikhil_Kumar_February2026[[#This Row],[Del Days]]&gt;15,"Slow")</f>
        <v>Fast</v>
      </c>
      <c r="AB7" t="s">
        <v>34</v>
      </c>
      <c r="AC7">
        <f>IF(Data_Analyst_Intern_Nikhil_Kumar_February2026[[#This Row],[Status]]="RTO", 1,0)</f>
        <v>0</v>
      </c>
      <c r="AD7">
        <f>IF(Data_Analyst_Intern_Nikhil_Kumar_February2026[[#This Row],[Status]]="Delivered",1,0)</f>
        <v>1</v>
      </c>
      <c r="AE7" t="s">
        <v>47</v>
      </c>
      <c r="AF7">
        <f>IF(AND(Data_Analyst_Intern_Nikhil_Kumar_February2026[[#This Row],[Status]]="Delivered",Data_Analyst_Intern_Nikhil_Kumar_February2026[[#This Row],[Return?]]="Yes"),1,0)</f>
        <v>1</v>
      </c>
      <c r="AG7" t="s">
        <v>80</v>
      </c>
      <c r="AH7" s="1">
        <v>45583</v>
      </c>
      <c r="AI7" t="s">
        <v>49</v>
      </c>
    </row>
    <row r="8" spans="1:37" x14ac:dyDescent="0.3">
      <c r="A8" t="s">
        <v>81</v>
      </c>
      <c r="B8" s="1">
        <v>45567</v>
      </c>
      <c r="C8" s="1" t="str">
        <f>TEXT(Data_Analyst_Intern_Nikhil_Kumar_February2026[[#This Row],[Order Date]], "mmmm")</f>
        <v>October</v>
      </c>
      <c r="D8" s="23">
        <f>WEEKNUM(Data_Analyst_Intern_Nikhil_Kumar_February2026[[#This Row],[Order Date]],2)</f>
        <v>40</v>
      </c>
      <c r="E8" s="23" t="str">
        <f>TEXT(Data_Analyst_Intern_Nikhil_Kumar_February2026[[#This Row],[Order Date]],"dddd")</f>
        <v>Wednesday</v>
      </c>
      <c r="F8" s="1">
        <v>45565</v>
      </c>
      <c r="G8" s="23" t="str">
        <f>TEXT(WEEKDAY(Data_Analyst_Intern_Nikhil_Kumar_February2026[[#This Row],[Order Date]],2), "dddd")</f>
        <v>Tuesday</v>
      </c>
      <c r="H8" t="s">
        <v>82</v>
      </c>
      <c r="I8" t="s">
        <v>25</v>
      </c>
      <c r="J8" t="s">
        <v>83</v>
      </c>
      <c r="K8" t="s">
        <v>41</v>
      </c>
      <c r="L8" t="s">
        <v>84</v>
      </c>
      <c r="M8" s="2">
        <v>2199</v>
      </c>
      <c r="N8">
        <v>1</v>
      </c>
      <c r="O8" s="2">
        <v>2199</v>
      </c>
      <c r="P8" t="s">
        <v>43</v>
      </c>
      <c r="Q8">
        <v>20</v>
      </c>
      <c r="R8" s="4">
        <f>IFERROR(Data_Analyst_Intern_Nikhil_Kumar_February2026[[#This Row],[Total]]/Data_Analyst_Intern_Nikhil_Kumar_February2026[[#This Row],[Discount(%)]],0)</f>
        <v>109.95</v>
      </c>
      <c r="S8" s="2">
        <f>Data_Analyst_Intern_Nikhil_Kumar_February2026[[#This Row],[Total]]-Data_Analyst_Intern_Nikhil_Kumar_February2026[[#This Row],[Discount Amount]]</f>
        <v>2089.0500000000002</v>
      </c>
      <c r="T8" t="s">
        <v>56</v>
      </c>
      <c r="U8" t="s">
        <v>31</v>
      </c>
      <c r="V8" t="s">
        <v>85</v>
      </c>
      <c r="W8" t="s">
        <v>33</v>
      </c>
      <c r="X8" t="s">
        <v>32</v>
      </c>
      <c r="Y8" s="1"/>
      <c r="Z8" s="1">
        <f>Data_Analyst_Intern_Nikhil_Kumar_February2026[[#This Row],[Del Date]]-Data_Analyst_Intern_Nikhil_Kumar_February2026[[#This Row],[Order Date]]</f>
        <v>-45567</v>
      </c>
      <c r="AA8" s="1" t="str" cm="1">
        <f t="array" ref="AA8">_xlfn.IFS(Data_Analyst_Intern_Nikhil_Kumar_February2026[[#This Row],[Del Days]]&lt;=7,"Fast",Data_Analyst_Intern_Nikhil_Kumar_February2026[[#This Row],[Del Days]]&lt;=15,"Standard",Data_Analyst_Intern_Nikhil_Kumar_February2026[[#This Row],[Del Days]]&gt;15,"Slow")</f>
        <v>Fast</v>
      </c>
      <c r="AB8" t="s">
        <v>86</v>
      </c>
      <c r="AC8">
        <f>IF(Data_Analyst_Intern_Nikhil_Kumar_February2026[[#This Row],[Status]]="RTO", 1,0)</f>
        <v>0</v>
      </c>
      <c r="AD8">
        <f>IF(Data_Analyst_Intern_Nikhil_Kumar_February2026[[#This Row],[Status]]="Delivered",1,0)</f>
        <v>0</v>
      </c>
      <c r="AE8" t="s">
        <v>35</v>
      </c>
      <c r="AF8">
        <f>IF(AND(Data_Analyst_Intern_Nikhil_Kumar_February2026[[#This Row],[Status]]="Delivered",Data_Analyst_Intern_Nikhil_Kumar_February2026[[#This Row],[Return?]]="Yes"),1,0)</f>
        <v>0</v>
      </c>
      <c r="AG8" t="s">
        <v>29</v>
      </c>
      <c r="AI8" t="s">
        <v>36</v>
      </c>
    </row>
    <row r="9" spans="1:37" x14ac:dyDescent="0.3">
      <c r="A9" t="s">
        <v>87</v>
      </c>
      <c r="B9" s="1">
        <v>45567</v>
      </c>
      <c r="C9" s="1" t="str">
        <f>TEXT(Data_Analyst_Intern_Nikhil_Kumar_February2026[[#This Row],[Order Date]], "mmmm")</f>
        <v>October</v>
      </c>
      <c r="D9" s="23">
        <f>WEEKNUM(Data_Analyst_Intern_Nikhil_Kumar_February2026[[#This Row],[Order Date]],2)</f>
        <v>40</v>
      </c>
      <c r="E9" s="23" t="str">
        <f>TEXT(Data_Analyst_Intern_Nikhil_Kumar_February2026[[#This Row],[Order Date]],"dddd")</f>
        <v>Wednesday</v>
      </c>
      <c r="F9" s="1">
        <v>45565</v>
      </c>
      <c r="G9" s="23" t="str">
        <f>TEXT(WEEKDAY(Data_Analyst_Intern_Nikhil_Kumar_February2026[[#This Row],[Order Date]],2), "dddd")</f>
        <v>Tuesday</v>
      </c>
      <c r="H9" t="s">
        <v>88</v>
      </c>
      <c r="I9" t="s">
        <v>25</v>
      </c>
      <c r="J9" t="s">
        <v>89</v>
      </c>
      <c r="K9" t="s">
        <v>54</v>
      </c>
      <c r="L9" t="s">
        <v>90</v>
      </c>
      <c r="M9" s="2">
        <v>2299</v>
      </c>
      <c r="N9">
        <v>1</v>
      </c>
      <c r="O9" s="2">
        <v>2299</v>
      </c>
      <c r="P9" t="s">
        <v>29</v>
      </c>
      <c r="Q9">
        <v>0</v>
      </c>
      <c r="R9" s="4">
        <f>IFERROR(Data_Analyst_Intern_Nikhil_Kumar_February2026[[#This Row],[Total]]/Data_Analyst_Intern_Nikhil_Kumar_February2026[[#This Row],[Discount(%)]],0)</f>
        <v>0</v>
      </c>
      <c r="S9" s="2">
        <f>Data_Analyst_Intern_Nikhil_Kumar_February2026[[#This Row],[Total]]-Data_Analyst_Intern_Nikhil_Kumar_February2026[[#This Row],[Discount Amount]]</f>
        <v>2299</v>
      </c>
      <c r="T9" t="s">
        <v>30</v>
      </c>
      <c r="U9" t="s">
        <v>45</v>
      </c>
      <c r="V9" t="s">
        <v>91</v>
      </c>
      <c r="W9" t="s">
        <v>92</v>
      </c>
      <c r="X9" t="s">
        <v>46</v>
      </c>
      <c r="Y9" s="1">
        <v>45575</v>
      </c>
      <c r="Z9" s="3">
        <f>Data_Analyst_Intern_Nikhil_Kumar_February2026[[#This Row],[Del Date]]-Data_Analyst_Intern_Nikhil_Kumar_February2026[[#This Row],[Order Date]]</f>
        <v>8</v>
      </c>
      <c r="AA9" s="3" t="str" cm="1">
        <f t="array" ref="AA9">_xlfn.IFS(Data_Analyst_Intern_Nikhil_Kumar_February2026[[#This Row],[Del Days]]&lt;=7,"Fast",Data_Analyst_Intern_Nikhil_Kumar_February2026[[#This Row],[Del Days]]&lt;=15,"Standard",Data_Analyst_Intern_Nikhil_Kumar_February2026[[#This Row],[Del Days]]&gt;15,"Slow")</f>
        <v>Standard</v>
      </c>
      <c r="AB9" t="s">
        <v>34</v>
      </c>
      <c r="AC9">
        <f>IF(Data_Analyst_Intern_Nikhil_Kumar_February2026[[#This Row],[Status]]="RTO", 1,0)</f>
        <v>0</v>
      </c>
      <c r="AD9">
        <f>IF(Data_Analyst_Intern_Nikhil_Kumar_February2026[[#This Row],[Status]]="Delivered",1,0)</f>
        <v>1</v>
      </c>
      <c r="AE9" t="s">
        <v>35</v>
      </c>
      <c r="AF9">
        <f>IF(AND(Data_Analyst_Intern_Nikhil_Kumar_February2026[[#This Row],[Status]]="Delivered",Data_Analyst_Intern_Nikhil_Kumar_February2026[[#This Row],[Return?]]="Yes"),1,0)</f>
        <v>0</v>
      </c>
      <c r="AG9" t="s">
        <v>29</v>
      </c>
      <c r="AI9" t="s">
        <v>36</v>
      </c>
    </row>
    <row r="10" spans="1:37" x14ac:dyDescent="0.3">
      <c r="A10" t="s">
        <v>93</v>
      </c>
      <c r="B10" s="1">
        <v>45567</v>
      </c>
      <c r="C10" s="1" t="str">
        <f>TEXT(Data_Analyst_Intern_Nikhil_Kumar_February2026[[#This Row],[Order Date]], "mmmm")</f>
        <v>October</v>
      </c>
      <c r="D10" s="23">
        <f>WEEKNUM(Data_Analyst_Intern_Nikhil_Kumar_February2026[[#This Row],[Order Date]],2)</f>
        <v>40</v>
      </c>
      <c r="E10" s="23" t="str">
        <f>TEXT(Data_Analyst_Intern_Nikhil_Kumar_February2026[[#This Row],[Order Date]],"dddd")</f>
        <v>Wednesday</v>
      </c>
      <c r="F10" s="1">
        <v>45565</v>
      </c>
      <c r="G10" s="23" t="str">
        <f>TEXT(WEEKDAY(Data_Analyst_Intern_Nikhil_Kumar_February2026[[#This Row],[Order Date]],2), "dddd")</f>
        <v>Tuesday</v>
      </c>
      <c r="H10" t="s">
        <v>94</v>
      </c>
      <c r="I10" t="s">
        <v>39</v>
      </c>
      <c r="J10" t="s">
        <v>95</v>
      </c>
      <c r="K10" t="s">
        <v>27</v>
      </c>
      <c r="L10" t="s">
        <v>96</v>
      </c>
      <c r="M10" s="2">
        <v>1399</v>
      </c>
      <c r="N10">
        <v>5</v>
      </c>
      <c r="O10" s="2">
        <v>6995</v>
      </c>
      <c r="P10" t="s">
        <v>29</v>
      </c>
      <c r="Q10">
        <v>0</v>
      </c>
      <c r="R10" s="4">
        <f>IFERROR(Data_Analyst_Intern_Nikhil_Kumar_February2026[[#This Row],[Total]]/Data_Analyst_Intern_Nikhil_Kumar_February2026[[#This Row],[Discount(%)]],0)</f>
        <v>0</v>
      </c>
      <c r="S10" s="2">
        <f>Data_Analyst_Intern_Nikhil_Kumar_February2026[[#This Row],[Total]]-Data_Analyst_Intern_Nikhil_Kumar_February2026[[#This Row],[Discount Amount]]</f>
        <v>6995</v>
      </c>
      <c r="T10" t="s">
        <v>44</v>
      </c>
      <c r="U10" t="s">
        <v>31</v>
      </c>
      <c r="V10" t="s">
        <v>97</v>
      </c>
      <c r="W10" t="s">
        <v>98</v>
      </c>
      <c r="X10" t="s">
        <v>32</v>
      </c>
      <c r="Y10" s="1">
        <v>45574</v>
      </c>
      <c r="Z10" s="3">
        <f>Data_Analyst_Intern_Nikhil_Kumar_February2026[[#This Row],[Del Date]]-Data_Analyst_Intern_Nikhil_Kumar_February2026[[#This Row],[Order Date]]</f>
        <v>7</v>
      </c>
      <c r="AA10" s="3" t="str" cm="1">
        <f t="array" ref="AA10">_xlfn.IFS(Data_Analyst_Intern_Nikhil_Kumar_February2026[[#This Row],[Del Days]]&lt;=7,"Fast",Data_Analyst_Intern_Nikhil_Kumar_February2026[[#This Row],[Del Days]]&lt;=15,"Standard",Data_Analyst_Intern_Nikhil_Kumar_February2026[[#This Row],[Del Days]]&gt;15,"Slow")</f>
        <v>Fast</v>
      </c>
      <c r="AB10" t="s">
        <v>34</v>
      </c>
      <c r="AC10">
        <f>IF(Data_Analyst_Intern_Nikhil_Kumar_February2026[[#This Row],[Status]]="RTO", 1,0)</f>
        <v>0</v>
      </c>
      <c r="AD10">
        <f>IF(Data_Analyst_Intern_Nikhil_Kumar_February2026[[#This Row],[Status]]="Delivered",1,0)</f>
        <v>1</v>
      </c>
      <c r="AE10" t="s">
        <v>47</v>
      </c>
      <c r="AF10">
        <f>IF(AND(Data_Analyst_Intern_Nikhil_Kumar_February2026[[#This Row],[Status]]="Delivered",Data_Analyst_Intern_Nikhil_Kumar_February2026[[#This Row],[Return?]]="Yes"),1,0)</f>
        <v>1</v>
      </c>
      <c r="AG10" t="s">
        <v>48</v>
      </c>
      <c r="AH10" s="1">
        <v>45587</v>
      </c>
      <c r="AI10" t="s">
        <v>49</v>
      </c>
    </row>
    <row r="11" spans="1:37" x14ac:dyDescent="0.3">
      <c r="A11" t="s">
        <v>99</v>
      </c>
      <c r="B11" s="1">
        <v>45567</v>
      </c>
      <c r="C11" s="1" t="str">
        <f>TEXT(Data_Analyst_Intern_Nikhil_Kumar_February2026[[#This Row],[Order Date]], "mmmm")</f>
        <v>October</v>
      </c>
      <c r="D11" s="23">
        <f>WEEKNUM(Data_Analyst_Intern_Nikhil_Kumar_February2026[[#This Row],[Order Date]],2)</f>
        <v>40</v>
      </c>
      <c r="E11" s="23" t="str">
        <f>TEXT(Data_Analyst_Intern_Nikhil_Kumar_February2026[[#This Row],[Order Date]],"dddd")</f>
        <v>Wednesday</v>
      </c>
      <c r="F11" s="1">
        <v>45565</v>
      </c>
      <c r="G11" s="23" t="str">
        <f>TEXT(WEEKDAY(Data_Analyst_Intern_Nikhil_Kumar_February2026[[#This Row],[Order Date]],2), "dddd")</f>
        <v>Tuesday</v>
      </c>
      <c r="H11" t="s">
        <v>100</v>
      </c>
      <c r="I11" t="s">
        <v>25</v>
      </c>
      <c r="J11" t="s">
        <v>101</v>
      </c>
      <c r="K11" t="s">
        <v>62</v>
      </c>
      <c r="L11" t="s">
        <v>102</v>
      </c>
      <c r="M11" s="2">
        <v>4999</v>
      </c>
      <c r="N11">
        <v>-1</v>
      </c>
      <c r="O11" s="2">
        <v>4999</v>
      </c>
      <c r="P11" t="s">
        <v>29</v>
      </c>
      <c r="Q11">
        <v>0</v>
      </c>
      <c r="R11" s="4">
        <f>IFERROR(Data_Analyst_Intern_Nikhil_Kumar_February2026[[#This Row],[Total]]/Data_Analyst_Intern_Nikhil_Kumar_February2026[[#This Row],[Discount(%)]],0)</f>
        <v>0</v>
      </c>
      <c r="S11" s="2">
        <f>Data_Analyst_Intern_Nikhil_Kumar_February2026[[#This Row],[Total]]-Data_Analyst_Intern_Nikhil_Kumar_February2026[[#This Row],[Discount Amount]]</f>
        <v>4999</v>
      </c>
      <c r="T11" t="s">
        <v>65</v>
      </c>
      <c r="U11" t="s">
        <v>66</v>
      </c>
      <c r="V11" t="s">
        <v>103</v>
      </c>
      <c r="W11" t="s">
        <v>104</v>
      </c>
      <c r="X11" t="s">
        <v>46</v>
      </c>
      <c r="Y11" s="1">
        <v>45576</v>
      </c>
      <c r="Z11" s="3">
        <f>Data_Analyst_Intern_Nikhil_Kumar_February2026[[#This Row],[Del Date]]-Data_Analyst_Intern_Nikhil_Kumar_February2026[[#This Row],[Order Date]]</f>
        <v>9</v>
      </c>
      <c r="AA11" s="3" t="str" cm="1">
        <f t="array" ref="AA11">_xlfn.IFS(Data_Analyst_Intern_Nikhil_Kumar_February2026[[#This Row],[Del Days]]&lt;=7,"Fast",Data_Analyst_Intern_Nikhil_Kumar_February2026[[#This Row],[Del Days]]&lt;=15,"Standard",Data_Analyst_Intern_Nikhil_Kumar_February2026[[#This Row],[Del Days]]&gt;15,"Slow")</f>
        <v>Standard</v>
      </c>
      <c r="AB11" t="s">
        <v>34</v>
      </c>
      <c r="AC11">
        <f>IF(Data_Analyst_Intern_Nikhil_Kumar_February2026[[#This Row],[Status]]="RTO", 1,0)</f>
        <v>0</v>
      </c>
      <c r="AD11">
        <f>IF(Data_Analyst_Intern_Nikhil_Kumar_February2026[[#This Row],[Status]]="Delivered",1,0)</f>
        <v>1</v>
      </c>
      <c r="AE11" t="s">
        <v>47</v>
      </c>
      <c r="AF11">
        <f>IF(AND(Data_Analyst_Intern_Nikhil_Kumar_February2026[[#This Row],[Status]]="Delivered",Data_Analyst_Intern_Nikhil_Kumar_February2026[[#This Row],[Return?]]="Yes"),1,0)</f>
        <v>1</v>
      </c>
      <c r="AG11" t="s">
        <v>105</v>
      </c>
      <c r="AH11" s="1">
        <v>45590</v>
      </c>
      <c r="AI11" t="s">
        <v>106</v>
      </c>
    </row>
    <row r="12" spans="1:37" x14ac:dyDescent="0.3">
      <c r="A12" t="s">
        <v>107</v>
      </c>
      <c r="B12" s="1">
        <v>45568</v>
      </c>
      <c r="C12" s="1" t="str">
        <f>TEXT(Data_Analyst_Intern_Nikhil_Kumar_February2026[[#This Row],[Order Date]], "mmmm")</f>
        <v>October</v>
      </c>
      <c r="D12" s="23">
        <f>WEEKNUM(Data_Analyst_Intern_Nikhil_Kumar_February2026[[#This Row],[Order Date]],2)</f>
        <v>40</v>
      </c>
      <c r="E12" s="23" t="str">
        <f>TEXT(Data_Analyst_Intern_Nikhil_Kumar_February2026[[#This Row],[Order Date]],"dddd")</f>
        <v>Thursday</v>
      </c>
      <c r="F12" s="1">
        <v>45565</v>
      </c>
      <c r="G12" s="23" t="str">
        <f>TEXT(WEEKDAY(Data_Analyst_Intern_Nikhil_Kumar_February2026[[#This Row],[Order Date]],2), "dddd")</f>
        <v>Wednesday</v>
      </c>
      <c r="H12" t="s">
        <v>108</v>
      </c>
      <c r="I12" t="s">
        <v>25</v>
      </c>
      <c r="J12" t="s">
        <v>109</v>
      </c>
      <c r="K12" t="s">
        <v>72</v>
      </c>
      <c r="L12" t="s">
        <v>110</v>
      </c>
      <c r="M12" s="2">
        <v>1299</v>
      </c>
      <c r="N12">
        <v>2</v>
      </c>
      <c r="O12" s="2">
        <v>2598</v>
      </c>
      <c r="P12" t="s">
        <v>111</v>
      </c>
      <c r="Q12">
        <v>10</v>
      </c>
      <c r="R12" s="4">
        <f>IFERROR(Data_Analyst_Intern_Nikhil_Kumar_February2026[[#This Row],[Total]]/Data_Analyst_Intern_Nikhil_Kumar_February2026[[#This Row],[Discount(%)]],0)</f>
        <v>259.8</v>
      </c>
      <c r="S12" s="2">
        <f>Data_Analyst_Intern_Nikhil_Kumar_February2026[[#This Row],[Total]]-Data_Analyst_Intern_Nikhil_Kumar_February2026[[#This Row],[Discount Amount]]</f>
        <v>2338.1999999999998</v>
      </c>
      <c r="T12" t="s">
        <v>112</v>
      </c>
      <c r="U12" t="s">
        <v>31</v>
      </c>
      <c r="V12" t="s">
        <v>113</v>
      </c>
      <c r="W12" t="s">
        <v>114</v>
      </c>
      <c r="X12" t="s">
        <v>46</v>
      </c>
      <c r="Y12" s="1">
        <v>45575</v>
      </c>
      <c r="Z12" s="3">
        <f>Data_Analyst_Intern_Nikhil_Kumar_February2026[[#This Row],[Del Date]]-Data_Analyst_Intern_Nikhil_Kumar_February2026[[#This Row],[Order Date]]</f>
        <v>7</v>
      </c>
      <c r="AA12" s="3" t="str" cm="1">
        <f t="array" ref="AA12">_xlfn.IFS(Data_Analyst_Intern_Nikhil_Kumar_February2026[[#This Row],[Del Days]]&lt;=7,"Fast",Data_Analyst_Intern_Nikhil_Kumar_February2026[[#This Row],[Del Days]]&lt;=15,"Standard",Data_Analyst_Intern_Nikhil_Kumar_February2026[[#This Row],[Del Days]]&gt;15,"Slow")</f>
        <v>Fast</v>
      </c>
      <c r="AB12" t="s">
        <v>34</v>
      </c>
      <c r="AC12">
        <f>IF(Data_Analyst_Intern_Nikhil_Kumar_February2026[[#This Row],[Status]]="RTO", 1,0)</f>
        <v>0</v>
      </c>
      <c r="AD12">
        <f>IF(Data_Analyst_Intern_Nikhil_Kumar_February2026[[#This Row],[Status]]="Delivered",1,0)</f>
        <v>1</v>
      </c>
      <c r="AE12" t="s">
        <v>35</v>
      </c>
      <c r="AF12">
        <f>IF(AND(Data_Analyst_Intern_Nikhil_Kumar_February2026[[#This Row],[Status]]="Delivered",Data_Analyst_Intern_Nikhil_Kumar_February2026[[#This Row],[Return?]]="Yes"),1,0)</f>
        <v>0</v>
      </c>
      <c r="AG12" t="s">
        <v>29</v>
      </c>
      <c r="AI12" t="s">
        <v>36</v>
      </c>
    </row>
    <row r="13" spans="1:37" x14ac:dyDescent="0.3">
      <c r="A13" t="s">
        <v>115</v>
      </c>
      <c r="B13" s="1">
        <v>45568</v>
      </c>
      <c r="C13" s="1" t="str">
        <f>TEXT(Data_Analyst_Intern_Nikhil_Kumar_February2026[[#This Row],[Order Date]], "mmmm")</f>
        <v>October</v>
      </c>
      <c r="D13" s="23">
        <f>WEEKNUM(Data_Analyst_Intern_Nikhil_Kumar_February2026[[#This Row],[Order Date]],2)</f>
        <v>40</v>
      </c>
      <c r="E13" s="23" t="str">
        <f>TEXT(Data_Analyst_Intern_Nikhil_Kumar_February2026[[#This Row],[Order Date]],"dddd")</f>
        <v>Thursday</v>
      </c>
      <c r="F13" s="1">
        <v>45565</v>
      </c>
      <c r="G13" s="23" t="str">
        <f>TEXT(WEEKDAY(Data_Analyst_Intern_Nikhil_Kumar_February2026[[#This Row],[Order Date]],2), "dddd")</f>
        <v>Wednesday</v>
      </c>
      <c r="H13" t="s">
        <v>116</v>
      </c>
      <c r="I13" t="s">
        <v>25</v>
      </c>
      <c r="J13" t="s">
        <v>117</v>
      </c>
      <c r="K13" t="s">
        <v>41</v>
      </c>
      <c r="L13" t="s">
        <v>118</v>
      </c>
      <c r="M13" s="2">
        <v>3299</v>
      </c>
      <c r="N13">
        <v>1</v>
      </c>
      <c r="O13" s="2">
        <v>3299</v>
      </c>
      <c r="P13" t="s">
        <v>29</v>
      </c>
      <c r="Q13">
        <v>0</v>
      </c>
      <c r="R13" s="4">
        <f>IFERROR(Data_Analyst_Intern_Nikhil_Kumar_February2026[[#This Row],[Total]]/Data_Analyst_Intern_Nikhil_Kumar_February2026[[#This Row],[Discount(%)]],0)</f>
        <v>0</v>
      </c>
      <c r="S13" s="2">
        <f>Data_Analyst_Intern_Nikhil_Kumar_February2026[[#This Row],[Total]]-Data_Analyst_Intern_Nikhil_Kumar_February2026[[#This Row],[Discount Amount]]</f>
        <v>3299</v>
      </c>
      <c r="T13" t="s">
        <v>56</v>
      </c>
      <c r="U13" t="s">
        <v>45</v>
      </c>
      <c r="V13" t="s">
        <v>119</v>
      </c>
      <c r="W13" t="s">
        <v>120</v>
      </c>
      <c r="X13" t="s">
        <v>46</v>
      </c>
      <c r="Y13" s="1"/>
      <c r="Z13" s="1">
        <f>Data_Analyst_Intern_Nikhil_Kumar_February2026[[#This Row],[Del Date]]-Data_Analyst_Intern_Nikhil_Kumar_February2026[[#This Row],[Order Date]]</f>
        <v>-45568</v>
      </c>
      <c r="AA13" s="1" t="str" cm="1">
        <f t="array" ref="AA13">_xlfn.IFS(Data_Analyst_Intern_Nikhil_Kumar_February2026[[#This Row],[Del Days]]&lt;=7,"Fast",Data_Analyst_Intern_Nikhil_Kumar_February2026[[#This Row],[Del Days]]&lt;=15,"Standard",Data_Analyst_Intern_Nikhil_Kumar_February2026[[#This Row],[Del Days]]&gt;15,"Slow")</f>
        <v>Fast</v>
      </c>
      <c r="AB13" t="s">
        <v>121</v>
      </c>
      <c r="AC13">
        <f>IF(Data_Analyst_Intern_Nikhil_Kumar_February2026[[#This Row],[Status]]="RTO", 1,0)</f>
        <v>1</v>
      </c>
      <c r="AD13">
        <f>IF(Data_Analyst_Intern_Nikhil_Kumar_February2026[[#This Row],[Status]]="Delivered",1,0)</f>
        <v>0</v>
      </c>
      <c r="AE13" t="s">
        <v>35</v>
      </c>
      <c r="AF13">
        <f>IF(AND(Data_Analyst_Intern_Nikhil_Kumar_February2026[[#This Row],[Status]]="Delivered",Data_Analyst_Intern_Nikhil_Kumar_February2026[[#This Row],[Return?]]="Yes"),1,0)</f>
        <v>0</v>
      </c>
      <c r="AG13" t="s">
        <v>29</v>
      </c>
      <c r="AI13" t="s">
        <v>36</v>
      </c>
      <c r="AK13" s="24"/>
    </row>
    <row r="14" spans="1:37" x14ac:dyDescent="0.3">
      <c r="A14" t="s">
        <v>122</v>
      </c>
      <c r="B14" s="1">
        <v>45568</v>
      </c>
      <c r="C14" s="1" t="str">
        <f>TEXT(Data_Analyst_Intern_Nikhil_Kumar_February2026[[#This Row],[Order Date]], "mmmm")</f>
        <v>October</v>
      </c>
      <c r="D14" s="23">
        <f>WEEKNUM(Data_Analyst_Intern_Nikhil_Kumar_February2026[[#This Row],[Order Date]],2)</f>
        <v>40</v>
      </c>
      <c r="E14" s="23" t="str">
        <f>TEXT(Data_Analyst_Intern_Nikhil_Kumar_February2026[[#This Row],[Order Date]],"dddd")</f>
        <v>Thursday</v>
      </c>
      <c r="F14" s="1">
        <v>45565</v>
      </c>
      <c r="G14" s="23" t="str">
        <f>TEXT(WEEKDAY(Data_Analyst_Intern_Nikhil_Kumar_February2026[[#This Row],[Order Date]],2), "dddd")</f>
        <v>Wednesday</v>
      </c>
      <c r="H14" t="s">
        <v>123</v>
      </c>
      <c r="I14" t="s">
        <v>39</v>
      </c>
      <c r="J14" t="s">
        <v>124</v>
      </c>
      <c r="K14" t="s">
        <v>27</v>
      </c>
      <c r="L14" t="s">
        <v>125</v>
      </c>
      <c r="M14" s="2">
        <v>2499</v>
      </c>
      <c r="N14">
        <v>1</v>
      </c>
      <c r="O14" s="2">
        <v>2499</v>
      </c>
      <c r="P14" t="s">
        <v>29</v>
      </c>
      <c r="Q14">
        <v>0</v>
      </c>
      <c r="R14" s="4">
        <f>IFERROR(Data_Analyst_Intern_Nikhil_Kumar_February2026[[#This Row],[Total]]/Data_Analyst_Intern_Nikhil_Kumar_February2026[[#This Row],[Discount(%)]],0)</f>
        <v>0</v>
      </c>
      <c r="S14" s="2">
        <f>Data_Analyst_Intern_Nikhil_Kumar_February2026[[#This Row],[Total]]-Data_Analyst_Intern_Nikhil_Kumar_February2026[[#This Row],[Discount Amount]]</f>
        <v>2499</v>
      </c>
      <c r="T14" t="s">
        <v>44</v>
      </c>
      <c r="U14" t="s">
        <v>31</v>
      </c>
      <c r="V14" t="s">
        <v>32</v>
      </c>
      <c r="W14" t="s">
        <v>33</v>
      </c>
      <c r="X14" t="s">
        <v>32</v>
      </c>
      <c r="Y14" s="1">
        <v>45574</v>
      </c>
      <c r="Z14" s="3">
        <f>Data_Analyst_Intern_Nikhil_Kumar_February2026[[#This Row],[Del Date]]-Data_Analyst_Intern_Nikhil_Kumar_February2026[[#This Row],[Order Date]]</f>
        <v>6</v>
      </c>
      <c r="AA14" s="3" t="str" cm="1">
        <f t="array" ref="AA14">_xlfn.IFS(Data_Analyst_Intern_Nikhil_Kumar_February2026[[#This Row],[Del Days]]&lt;=7,"Fast",Data_Analyst_Intern_Nikhil_Kumar_February2026[[#This Row],[Del Days]]&lt;=15,"Standard",Data_Analyst_Intern_Nikhil_Kumar_February2026[[#This Row],[Del Days]]&gt;15,"Slow")</f>
        <v>Fast</v>
      </c>
      <c r="AB14" t="s">
        <v>34</v>
      </c>
      <c r="AC14">
        <f>IF(Data_Analyst_Intern_Nikhil_Kumar_February2026[[#This Row],[Status]]="RTO", 1,0)</f>
        <v>0</v>
      </c>
      <c r="AD14">
        <f>IF(Data_Analyst_Intern_Nikhil_Kumar_February2026[[#This Row],[Status]]="Delivered",1,0)</f>
        <v>1</v>
      </c>
      <c r="AE14" t="s">
        <v>35</v>
      </c>
      <c r="AF14">
        <f>IF(AND(Data_Analyst_Intern_Nikhil_Kumar_February2026[[#This Row],[Status]]="Delivered",Data_Analyst_Intern_Nikhil_Kumar_February2026[[#This Row],[Return?]]="Yes"),1,0)</f>
        <v>0</v>
      </c>
      <c r="AG14" t="s">
        <v>29</v>
      </c>
      <c r="AI14" t="s">
        <v>36</v>
      </c>
    </row>
    <row r="15" spans="1:37" x14ac:dyDescent="0.3">
      <c r="A15" t="s">
        <v>126</v>
      </c>
      <c r="B15" s="1">
        <v>45568</v>
      </c>
      <c r="C15" s="1" t="str">
        <f>TEXT(Data_Analyst_Intern_Nikhil_Kumar_February2026[[#This Row],[Order Date]], "mmmm")</f>
        <v>October</v>
      </c>
      <c r="D15" s="23">
        <f>WEEKNUM(Data_Analyst_Intern_Nikhil_Kumar_February2026[[#This Row],[Order Date]],2)</f>
        <v>40</v>
      </c>
      <c r="E15" s="23" t="str">
        <f>TEXT(Data_Analyst_Intern_Nikhil_Kumar_February2026[[#This Row],[Order Date]],"dddd")</f>
        <v>Thursday</v>
      </c>
      <c r="F15" s="1">
        <v>45565</v>
      </c>
      <c r="G15" s="23" t="str">
        <f>TEXT(WEEKDAY(Data_Analyst_Intern_Nikhil_Kumar_February2026[[#This Row],[Order Date]],2), "dddd")</f>
        <v>Wednesday</v>
      </c>
      <c r="H15" t="s">
        <v>127</v>
      </c>
      <c r="I15" t="s">
        <v>25</v>
      </c>
      <c r="J15" t="s">
        <v>128</v>
      </c>
      <c r="K15" t="s">
        <v>54</v>
      </c>
      <c r="L15" t="s">
        <v>129</v>
      </c>
      <c r="M15" s="2">
        <v>1799</v>
      </c>
      <c r="N15">
        <v>2</v>
      </c>
      <c r="O15" s="2">
        <v>3598</v>
      </c>
      <c r="P15" t="s">
        <v>43</v>
      </c>
      <c r="Q15">
        <v>20</v>
      </c>
      <c r="R15" s="4">
        <f>IFERROR(Data_Analyst_Intern_Nikhil_Kumar_February2026[[#This Row],[Total]]/Data_Analyst_Intern_Nikhil_Kumar_February2026[[#This Row],[Discount(%)]],0)</f>
        <v>179.9</v>
      </c>
      <c r="S15" s="2">
        <f>Data_Analyst_Intern_Nikhil_Kumar_February2026[[#This Row],[Total]]-Data_Analyst_Intern_Nikhil_Kumar_February2026[[#This Row],[Discount Amount]]</f>
        <v>3418.1</v>
      </c>
      <c r="T15" t="s">
        <v>30</v>
      </c>
      <c r="U15" t="s">
        <v>66</v>
      </c>
      <c r="V15" t="s">
        <v>46</v>
      </c>
      <c r="W15" t="s">
        <v>46</v>
      </c>
      <c r="X15" t="s">
        <v>46</v>
      </c>
      <c r="Y15" s="1">
        <v>45576</v>
      </c>
      <c r="Z15" s="3">
        <f>Data_Analyst_Intern_Nikhil_Kumar_February2026[[#This Row],[Del Date]]-Data_Analyst_Intern_Nikhil_Kumar_February2026[[#This Row],[Order Date]]</f>
        <v>8</v>
      </c>
      <c r="AA15" s="3" t="str" cm="1">
        <f t="array" ref="AA15">_xlfn.IFS(Data_Analyst_Intern_Nikhil_Kumar_February2026[[#This Row],[Del Days]]&lt;=7,"Fast",Data_Analyst_Intern_Nikhil_Kumar_February2026[[#This Row],[Del Days]]&lt;=15,"Standard",Data_Analyst_Intern_Nikhil_Kumar_February2026[[#This Row],[Del Days]]&gt;15,"Slow")</f>
        <v>Standard</v>
      </c>
      <c r="AB15" t="s">
        <v>34</v>
      </c>
      <c r="AC15">
        <f>IF(Data_Analyst_Intern_Nikhil_Kumar_February2026[[#This Row],[Status]]="RTO", 1,0)</f>
        <v>0</v>
      </c>
      <c r="AD15">
        <f>IF(Data_Analyst_Intern_Nikhil_Kumar_February2026[[#This Row],[Status]]="Delivered",1,0)</f>
        <v>1</v>
      </c>
      <c r="AE15" t="s">
        <v>47</v>
      </c>
      <c r="AF15">
        <f>IF(AND(Data_Analyst_Intern_Nikhil_Kumar_February2026[[#This Row],[Status]]="Delivered",Data_Analyst_Intern_Nikhil_Kumar_February2026[[#This Row],[Return?]]="Yes"),1,0)</f>
        <v>1</v>
      </c>
      <c r="AG15" t="s">
        <v>48</v>
      </c>
      <c r="AH15" s="1">
        <v>45593</v>
      </c>
      <c r="AI15" t="s">
        <v>49</v>
      </c>
    </row>
    <row r="16" spans="1:37" x14ac:dyDescent="0.3">
      <c r="A16" t="s">
        <v>130</v>
      </c>
      <c r="B16" s="1">
        <v>45568</v>
      </c>
      <c r="C16" s="1" t="str">
        <f>TEXT(Data_Analyst_Intern_Nikhil_Kumar_February2026[[#This Row],[Order Date]], "mmmm")</f>
        <v>October</v>
      </c>
      <c r="D16" s="23">
        <f>WEEKNUM(Data_Analyst_Intern_Nikhil_Kumar_February2026[[#This Row],[Order Date]],2)</f>
        <v>40</v>
      </c>
      <c r="E16" s="23" t="str">
        <f>TEXT(Data_Analyst_Intern_Nikhil_Kumar_February2026[[#This Row],[Order Date]],"dddd")</f>
        <v>Thursday</v>
      </c>
      <c r="F16" s="1">
        <v>45565</v>
      </c>
      <c r="G16" s="23" t="str">
        <f>TEXT(WEEKDAY(Data_Analyst_Intern_Nikhil_Kumar_February2026[[#This Row],[Order Date]],2), "dddd")</f>
        <v>Wednesday</v>
      </c>
      <c r="H16" t="s">
        <v>131</v>
      </c>
      <c r="I16" t="s">
        <v>25</v>
      </c>
      <c r="J16" t="s">
        <v>132</v>
      </c>
      <c r="K16" t="s">
        <v>62</v>
      </c>
      <c r="L16" t="s">
        <v>133</v>
      </c>
      <c r="M16" s="2">
        <v>2799</v>
      </c>
      <c r="N16">
        <v>1</v>
      </c>
      <c r="O16" s="2">
        <v>2799</v>
      </c>
      <c r="P16" t="s">
        <v>29</v>
      </c>
      <c r="Q16">
        <v>0</v>
      </c>
      <c r="R16" s="4">
        <f>IFERROR(Data_Analyst_Intern_Nikhil_Kumar_February2026[[#This Row],[Total]]/Data_Analyst_Intern_Nikhil_Kumar_February2026[[#This Row],[Discount(%)]],0)</f>
        <v>0</v>
      </c>
      <c r="S16" s="2">
        <f>Data_Analyst_Intern_Nikhil_Kumar_February2026[[#This Row],[Total]]-Data_Analyst_Intern_Nikhil_Kumar_February2026[[#This Row],[Discount Amount]]</f>
        <v>2799</v>
      </c>
      <c r="T16" t="s">
        <v>65</v>
      </c>
      <c r="U16" t="s">
        <v>45</v>
      </c>
      <c r="V16" t="s">
        <v>57</v>
      </c>
      <c r="W16" t="s">
        <v>58</v>
      </c>
      <c r="X16" t="s">
        <v>57</v>
      </c>
      <c r="Y16" s="1">
        <v>45577</v>
      </c>
      <c r="Z16" s="3">
        <f>Data_Analyst_Intern_Nikhil_Kumar_February2026[[#This Row],[Del Date]]-Data_Analyst_Intern_Nikhil_Kumar_February2026[[#This Row],[Order Date]]</f>
        <v>9</v>
      </c>
      <c r="AA16" s="3" t="str" cm="1">
        <f t="array" ref="AA16">_xlfn.IFS(Data_Analyst_Intern_Nikhil_Kumar_February2026[[#This Row],[Del Days]]&lt;=7,"Fast",Data_Analyst_Intern_Nikhil_Kumar_February2026[[#This Row],[Del Days]]&lt;=15,"Standard",Data_Analyst_Intern_Nikhil_Kumar_February2026[[#This Row],[Del Days]]&gt;15,"Slow")</f>
        <v>Standard</v>
      </c>
      <c r="AB16" t="s">
        <v>34</v>
      </c>
      <c r="AC16">
        <f>IF(Data_Analyst_Intern_Nikhil_Kumar_February2026[[#This Row],[Status]]="RTO", 1,0)</f>
        <v>0</v>
      </c>
      <c r="AD16">
        <f>IF(Data_Analyst_Intern_Nikhil_Kumar_February2026[[#This Row],[Status]]="Delivered",1,0)</f>
        <v>1</v>
      </c>
      <c r="AE16" t="s">
        <v>35</v>
      </c>
      <c r="AF16">
        <f>IF(AND(Data_Analyst_Intern_Nikhil_Kumar_February2026[[#This Row],[Status]]="Delivered",Data_Analyst_Intern_Nikhil_Kumar_February2026[[#This Row],[Return?]]="Yes"),1,0)</f>
        <v>0</v>
      </c>
      <c r="AG16" t="s">
        <v>29</v>
      </c>
      <c r="AI16" t="s">
        <v>36</v>
      </c>
    </row>
    <row r="17" spans="1:37" x14ac:dyDescent="0.3">
      <c r="A17" t="s">
        <v>134</v>
      </c>
      <c r="B17" s="1">
        <v>45569</v>
      </c>
      <c r="C17" s="1" t="str">
        <f>TEXT(Data_Analyst_Intern_Nikhil_Kumar_February2026[[#This Row],[Order Date]], "mmmm")</f>
        <v>October</v>
      </c>
      <c r="D17" s="23">
        <f>WEEKNUM(Data_Analyst_Intern_Nikhil_Kumar_February2026[[#This Row],[Order Date]],2)</f>
        <v>40</v>
      </c>
      <c r="E17" s="23" t="str">
        <f>TEXT(Data_Analyst_Intern_Nikhil_Kumar_February2026[[#This Row],[Order Date]],"dddd")</f>
        <v>Friday</v>
      </c>
      <c r="F17" s="1">
        <v>45565</v>
      </c>
      <c r="G17" s="23" t="str">
        <f>TEXT(WEEKDAY(Data_Analyst_Intern_Nikhil_Kumar_February2026[[#This Row],[Order Date]],2), "dddd")</f>
        <v>Thursday</v>
      </c>
      <c r="H17" t="s">
        <v>135</v>
      </c>
      <c r="I17" t="s">
        <v>39</v>
      </c>
      <c r="J17" t="s">
        <v>136</v>
      </c>
      <c r="K17" t="s">
        <v>72</v>
      </c>
      <c r="L17" t="s">
        <v>137</v>
      </c>
      <c r="M17" s="2">
        <v>599</v>
      </c>
      <c r="N17">
        <v>4</v>
      </c>
      <c r="O17" s="2">
        <v>2396</v>
      </c>
      <c r="P17" t="s">
        <v>29</v>
      </c>
      <c r="Q17">
        <v>0</v>
      </c>
      <c r="R17" s="4">
        <f>IFERROR(Data_Analyst_Intern_Nikhil_Kumar_February2026[[#This Row],[Total]]/Data_Analyst_Intern_Nikhil_Kumar_February2026[[#This Row],[Discount(%)]],0)</f>
        <v>0</v>
      </c>
      <c r="S17" s="2">
        <f>Data_Analyst_Intern_Nikhil_Kumar_February2026[[#This Row],[Total]]-Data_Analyst_Intern_Nikhil_Kumar_February2026[[#This Row],[Discount Amount]]</f>
        <v>2396</v>
      </c>
      <c r="T17" t="s">
        <v>56</v>
      </c>
      <c r="U17" t="s">
        <v>31</v>
      </c>
      <c r="V17" t="s">
        <v>138</v>
      </c>
      <c r="W17" t="s">
        <v>114</v>
      </c>
      <c r="X17" t="s">
        <v>46</v>
      </c>
      <c r="Y17" s="1">
        <v>45579</v>
      </c>
      <c r="Z17" s="3">
        <f>Data_Analyst_Intern_Nikhil_Kumar_February2026[[#This Row],[Del Date]]-Data_Analyst_Intern_Nikhil_Kumar_February2026[[#This Row],[Order Date]]</f>
        <v>10</v>
      </c>
      <c r="AA17" s="3" t="str" cm="1">
        <f t="array" ref="AA17">_xlfn.IFS(Data_Analyst_Intern_Nikhil_Kumar_February2026[[#This Row],[Del Days]]&lt;=7,"Fast",Data_Analyst_Intern_Nikhil_Kumar_February2026[[#This Row],[Del Days]]&lt;=15,"Standard",Data_Analyst_Intern_Nikhil_Kumar_February2026[[#This Row],[Del Days]]&gt;15,"Slow")</f>
        <v>Standard</v>
      </c>
      <c r="AB17" t="s">
        <v>34</v>
      </c>
      <c r="AC17">
        <f>IF(Data_Analyst_Intern_Nikhil_Kumar_February2026[[#This Row],[Status]]="RTO", 1,0)</f>
        <v>0</v>
      </c>
      <c r="AD17">
        <f>IF(Data_Analyst_Intern_Nikhil_Kumar_February2026[[#This Row],[Status]]="Delivered",1,0)</f>
        <v>1</v>
      </c>
      <c r="AE17" t="s">
        <v>47</v>
      </c>
      <c r="AF17">
        <f>IF(AND(Data_Analyst_Intern_Nikhil_Kumar_February2026[[#This Row],[Status]]="Delivered",Data_Analyst_Intern_Nikhil_Kumar_February2026[[#This Row],[Return?]]="Yes"),1,0)</f>
        <v>1</v>
      </c>
      <c r="AG17" t="s">
        <v>139</v>
      </c>
      <c r="AH17" s="1">
        <v>45591</v>
      </c>
      <c r="AI17" t="s">
        <v>49</v>
      </c>
      <c r="AK17" s="24"/>
    </row>
    <row r="18" spans="1:37" x14ac:dyDescent="0.3">
      <c r="A18" t="s">
        <v>140</v>
      </c>
      <c r="B18" s="1">
        <v>45569</v>
      </c>
      <c r="C18" s="1" t="str">
        <f>TEXT(Data_Analyst_Intern_Nikhil_Kumar_February2026[[#This Row],[Order Date]], "mmmm")</f>
        <v>October</v>
      </c>
      <c r="D18" s="23">
        <f>WEEKNUM(Data_Analyst_Intern_Nikhil_Kumar_February2026[[#This Row],[Order Date]],2)</f>
        <v>40</v>
      </c>
      <c r="E18" s="23" t="str">
        <f>TEXT(Data_Analyst_Intern_Nikhil_Kumar_February2026[[#This Row],[Order Date]],"dddd")</f>
        <v>Friday</v>
      </c>
      <c r="F18" s="1">
        <v>45565</v>
      </c>
      <c r="G18" s="23" t="str">
        <f>TEXT(WEEKDAY(Data_Analyst_Intern_Nikhil_Kumar_February2026[[#This Row],[Order Date]],2), "dddd")</f>
        <v>Thursday</v>
      </c>
      <c r="H18" t="s">
        <v>141</v>
      </c>
      <c r="I18" t="s">
        <v>25</v>
      </c>
      <c r="J18" t="s">
        <v>142</v>
      </c>
      <c r="K18" t="s">
        <v>27</v>
      </c>
      <c r="L18" t="s">
        <v>143</v>
      </c>
      <c r="M18" s="2">
        <v>999</v>
      </c>
      <c r="N18">
        <v>1</v>
      </c>
      <c r="O18" s="2">
        <v>999</v>
      </c>
      <c r="P18" t="s">
        <v>64</v>
      </c>
      <c r="Q18">
        <v>15</v>
      </c>
      <c r="R18" s="4">
        <f>IFERROR(Data_Analyst_Intern_Nikhil_Kumar_February2026[[#This Row],[Total]]/Data_Analyst_Intern_Nikhil_Kumar_February2026[[#This Row],[Discount(%)]],0)</f>
        <v>66.599999999999994</v>
      </c>
      <c r="S18" s="2">
        <f>Data_Analyst_Intern_Nikhil_Kumar_February2026[[#This Row],[Total]]-Data_Analyst_Intern_Nikhil_Kumar_February2026[[#This Row],[Discount Amount]]</f>
        <v>932.4</v>
      </c>
      <c r="T18" t="s">
        <v>30</v>
      </c>
      <c r="U18" t="s">
        <v>45</v>
      </c>
      <c r="V18" t="s">
        <v>144</v>
      </c>
      <c r="W18" t="s">
        <v>145</v>
      </c>
      <c r="X18" t="s">
        <v>46</v>
      </c>
      <c r="Y18" s="1">
        <v>45577</v>
      </c>
      <c r="Z18" s="3">
        <f>Data_Analyst_Intern_Nikhil_Kumar_February2026[[#This Row],[Del Date]]-Data_Analyst_Intern_Nikhil_Kumar_February2026[[#This Row],[Order Date]]</f>
        <v>8</v>
      </c>
      <c r="AA18" s="3" t="str" cm="1">
        <f t="array" ref="AA18">_xlfn.IFS(Data_Analyst_Intern_Nikhil_Kumar_February2026[[#This Row],[Del Days]]&lt;=7,"Fast",Data_Analyst_Intern_Nikhil_Kumar_February2026[[#This Row],[Del Days]]&lt;=15,"Standard",Data_Analyst_Intern_Nikhil_Kumar_February2026[[#This Row],[Del Days]]&gt;15,"Slow")</f>
        <v>Standard</v>
      </c>
      <c r="AB18" t="s">
        <v>1524</v>
      </c>
      <c r="AC18">
        <f>IF(Data_Analyst_Intern_Nikhil_Kumar_February2026[[#This Row],[Status]]="RTO", 1,0)</f>
        <v>0</v>
      </c>
      <c r="AD18">
        <f>IF(Data_Analyst_Intern_Nikhil_Kumar_February2026[[#This Row],[Status]]="Delivered",1,0)</f>
        <v>0</v>
      </c>
      <c r="AE18" t="s">
        <v>35</v>
      </c>
      <c r="AF18">
        <f>IF(AND(Data_Analyst_Intern_Nikhil_Kumar_February2026[[#This Row],[Status]]="Delivered",Data_Analyst_Intern_Nikhil_Kumar_February2026[[#This Row],[Return?]]="Yes"),1,0)</f>
        <v>0</v>
      </c>
      <c r="AG18" t="s">
        <v>29</v>
      </c>
      <c r="AI18" t="s">
        <v>36</v>
      </c>
    </row>
    <row r="19" spans="1:37" x14ac:dyDescent="0.3">
      <c r="A19" t="s">
        <v>146</v>
      </c>
      <c r="B19" s="1">
        <v>45569</v>
      </c>
      <c r="C19" s="1" t="str">
        <f>TEXT(Data_Analyst_Intern_Nikhil_Kumar_February2026[[#This Row],[Order Date]], "mmmm")</f>
        <v>October</v>
      </c>
      <c r="D19" s="23">
        <f>WEEKNUM(Data_Analyst_Intern_Nikhil_Kumar_February2026[[#This Row],[Order Date]],2)</f>
        <v>40</v>
      </c>
      <c r="E19" s="23" t="str">
        <f>TEXT(Data_Analyst_Intern_Nikhil_Kumar_February2026[[#This Row],[Order Date]],"dddd")</f>
        <v>Friday</v>
      </c>
      <c r="F19" s="1">
        <v>45565</v>
      </c>
      <c r="G19" s="23" t="str">
        <f>TEXT(WEEKDAY(Data_Analyst_Intern_Nikhil_Kumar_February2026[[#This Row],[Order Date]],2), "dddd")</f>
        <v>Thursday</v>
      </c>
      <c r="H19" t="s">
        <v>147</v>
      </c>
      <c r="I19" t="s">
        <v>25</v>
      </c>
      <c r="J19" t="s">
        <v>148</v>
      </c>
      <c r="K19" t="s">
        <v>41</v>
      </c>
      <c r="L19" t="s">
        <v>149</v>
      </c>
      <c r="M19" s="2">
        <v>2899</v>
      </c>
      <c r="N19">
        <v>1</v>
      </c>
      <c r="O19" s="2">
        <v>2899</v>
      </c>
      <c r="P19" t="s">
        <v>29</v>
      </c>
      <c r="Q19">
        <v>0</v>
      </c>
      <c r="R19" s="4">
        <f>IFERROR(Data_Analyst_Intern_Nikhil_Kumar_February2026[[#This Row],[Total]]/Data_Analyst_Intern_Nikhil_Kumar_February2026[[#This Row],[Discount(%)]],0)</f>
        <v>0</v>
      </c>
      <c r="S19" s="2">
        <f>Data_Analyst_Intern_Nikhil_Kumar_February2026[[#This Row],[Total]]-Data_Analyst_Intern_Nikhil_Kumar_February2026[[#This Row],[Discount Amount]]</f>
        <v>2899</v>
      </c>
      <c r="T19" t="s">
        <v>44</v>
      </c>
      <c r="U19" t="s">
        <v>31</v>
      </c>
      <c r="V19" t="s">
        <v>150</v>
      </c>
      <c r="W19" t="s">
        <v>151</v>
      </c>
      <c r="X19" t="s">
        <v>32</v>
      </c>
      <c r="Y19" s="1">
        <v>45579</v>
      </c>
      <c r="Z19" s="3">
        <f>Data_Analyst_Intern_Nikhil_Kumar_February2026[[#This Row],[Del Date]]-Data_Analyst_Intern_Nikhil_Kumar_February2026[[#This Row],[Order Date]]</f>
        <v>10</v>
      </c>
      <c r="AA19" s="3" t="str" cm="1">
        <f t="array" ref="AA19">_xlfn.IFS(Data_Analyst_Intern_Nikhil_Kumar_February2026[[#This Row],[Del Days]]&lt;=7,"Fast",Data_Analyst_Intern_Nikhil_Kumar_February2026[[#This Row],[Del Days]]&lt;=15,"Standard",Data_Analyst_Intern_Nikhil_Kumar_February2026[[#This Row],[Del Days]]&gt;15,"Slow")</f>
        <v>Standard</v>
      </c>
      <c r="AB19" t="s">
        <v>34</v>
      </c>
      <c r="AC19">
        <f>IF(Data_Analyst_Intern_Nikhil_Kumar_February2026[[#This Row],[Status]]="RTO", 1,0)</f>
        <v>0</v>
      </c>
      <c r="AD19">
        <f>IF(Data_Analyst_Intern_Nikhil_Kumar_February2026[[#This Row],[Status]]="Delivered",1,0)</f>
        <v>1</v>
      </c>
      <c r="AE19" t="s">
        <v>35</v>
      </c>
      <c r="AF19">
        <f>IF(AND(Data_Analyst_Intern_Nikhil_Kumar_February2026[[#This Row],[Status]]="Delivered",Data_Analyst_Intern_Nikhil_Kumar_February2026[[#This Row],[Return?]]="Yes"),1,0)</f>
        <v>0</v>
      </c>
      <c r="AG19" t="s">
        <v>29</v>
      </c>
      <c r="AI19" t="s">
        <v>36</v>
      </c>
    </row>
    <row r="20" spans="1:37" x14ac:dyDescent="0.3">
      <c r="A20" t="s">
        <v>152</v>
      </c>
      <c r="B20" s="1">
        <v>45569</v>
      </c>
      <c r="C20" s="1" t="str">
        <f>TEXT(Data_Analyst_Intern_Nikhil_Kumar_February2026[[#This Row],[Order Date]], "mmmm")</f>
        <v>October</v>
      </c>
      <c r="D20" s="23">
        <f>WEEKNUM(Data_Analyst_Intern_Nikhil_Kumar_February2026[[#This Row],[Order Date]],2)</f>
        <v>40</v>
      </c>
      <c r="E20" s="23" t="str">
        <f>TEXT(Data_Analyst_Intern_Nikhil_Kumar_February2026[[#This Row],[Order Date]],"dddd")</f>
        <v>Friday</v>
      </c>
      <c r="F20" s="1">
        <v>45565</v>
      </c>
      <c r="G20" s="23" t="str">
        <f>TEXT(WEEKDAY(Data_Analyst_Intern_Nikhil_Kumar_February2026[[#This Row],[Order Date]],2), "dddd")</f>
        <v>Thursday</v>
      </c>
      <c r="H20" t="s">
        <v>153</v>
      </c>
      <c r="I20" t="s">
        <v>39</v>
      </c>
      <c r="J20" t="s">
        <v>154</v>
      </c>
      <c r="K20" t="s">
        <v>54</v>
      </c>
      <c r="L20" t="s">
        <v>155</v>
      </c>
      <c r="M20" s="2">
        <v>1499</v>
      </c>
      <c r="N20">
        <v>2</v>
      </c>
      <c r="O20" s="2">
        <v>2998</v>
      </c>
      <c r="P20" t="s">
        <v>29</v>
      </c>
      <c r="Q20">
        <v>0</v>
      </c>
      <c r="R20" s="4">
        <f>IFERROR(Data_Analyst_Intern_Nikhil_Kumar_February2026[[#This Row],[Total]]/Data_Analyst_Intern_Nikhil_Kumar_February2026[[#This Row],[Discount(%)]],0)</f>
        <v>0</v>
      </c>
      <c r="S20" s="2">
        <f>Data_Analyst_Intern_Nikhil_Kumar_February2026[[#This Row],[Total]]-Data_Analyst_Intern_Nikhil_Kumar_February2026[[#This Row],[Discount Amount]]</f>
        <v>2998</v>
      </c>
      <c r="T20" t="s">
        <v>112</v>
      </c>
      <c r="U20" t="s">
        <v>66</v>
      </c>
      <c r="V20" t="s">
        <v>156</v>
      </c>
      <c r="W20" t="s">
        <v>98</v>
      </c>
      <c r="X20" t="s">
        <v>32</v>
      </c>
      <c r="Y20" s="1">
        <v>45578</v>
      </c>
      <c r="Z20" s="3">
        <f>Data_Analyst_Intern_Nikhil_Kumar_February2026[[#This Row],[Del Date]]-Data_Analyst_Intern_Nikhil_Kumar_February2026[[#This Row],[Order Date]]</f>
        <v>9</v>
      </c>
      <c r="AA20" s="3" t="str" cm="1">
        <f t="array" ref="AA20">_xlfn.IFS(Data_Analyst_Intern_Nikhil_Kumar_February2026[[#This Row],[Del Days]]&lt;=7,"Fast",Data_Analyst_Intern_Nikhil_Kumar_February2026[[#This Row],[Del Days]]&lt;=15,"Standard",Data_Analyst_Intern_Nikhil_Kumar_February2026[[#This Row],[Del Days]]&gt;15,"Slow")</f>
        <v>Standard</v>
      </c>
      <c r="AB20" t="s">
        <v>34</v>
      </c>
      <c r="AC20">
        <f>IF(Data_Analyst_Intern_Nikhil_Kumar_February2026[[#This Row],[Status]]="RTO", 1,0)</f>
        <v>0</v>
      </c>
      <c r="AD20">
        <f>IF(Data_Analyst_Intern_Nikhil_Kumar_February2026[[#This Row],[Status]]="Delivered",1,0)</f>
        <v>1</v>
      </c>
      <c r="AE20" t="s">
        <v>47</v>
      </c>
      <c r="AF20">
        <f>IF(AND(Data_Analyst_Intern_Nikhil_Kumar_February2026[[#This Row],[Status]]="Delivered",Data_Analyst_Intern_Nikhil_Kumar_February2026[[#This Row],[Return?]]="Yes"),1,0)</f>
        <v>1</v>
      </c>
      <c r="AG20" t="s">
        <v>48</v>
      </c>
      <c r="AH20" s="1">
        <v>45595</v>
      </c>
      <c r="AI20" t="s">
        <v>49</v>
      </c>
    </row>
    <row r="21" spans="1:37" x14ac:dyDescent="0.3">
      <c r="A21" t="s">
        <v>157</v>
      </c>
      <c r="B21" s="1">
        <v>45570</v>
      </c>
      <c r="C21" s="1" t="str">
        <f>TEXT(Data_Analyst_Intern_Nikhil_Kumar_February2026[[#This Row],[Order Date]], "mmmm")</f>
        <v>October</v>
      </c>
      <c r="D21" s="23">
        <f>WEEKNUM(Data_Analyst_Intern_Nikhil_Kumar_February2026[[#This Row],[Order Date]],2)</f>
        <v>40</v>
      </c>
      <c r="E21" s="23" t="str">
        <f>TEXT(Data_Analyst_Intern_Nikhil_Kumar_February2026[[#This Row],[Order Date]],"dddd")</f>
        <v>Saturday</v>
      </c>
      <c r="F21" s="1">
        <v>45565</v>
      </c>
      <c r="G21" s="23" t="str">
        <f>TEXT(WEEKDAY(Data_Analyst_Intern_Nikhil_Kumar_February2026[[#This Row],[Order Date]],2), "dddd")</f>
        <v>Friday</v>
      </c>
      <c r="H21" t="s">
        <v>158</v>
      </c>
      <c r="I21" t="s">
        <v>25</v>
      </c>
      <c r="J21" t="s">
        <v>159</v>
      </c>
      <c r="K21" t="s">
        <v>62</v>
      </c>
      <c r="L21" t="s">
        <v>160</v>
      </c>
      <c r="M21" s="2">
        <v>3999</v>
      </c>
      <c r="N21">
        <v>1</v>
      </c>
      <c r="O21" s="2">
        <v>3999</v>
      </c>
      <c r="P21" t="s">
        <v>43</v>
      </c>
      <c r="Q21">
        <v>20</v>
      </c>
      <c r="R21" s="4">
        <f>IFERROR(Data_Analyst_Intern_Nikhil_Kumar_February2026[[#This Row],[Total]]/Data_Analyst_Intern_Nikhil_Kumar_February2026[[#This Row],[Discount(%)]],0)</f>
        <v>199.95</v>
      </c>
      <c r="S21" s="2">
        <f>Data_Analyst_Intern_Nikhil_Kumar_February2026[[#This Row],[Total]]-Data_Analyst_Intern_Nikhil_Kumar_February2026[[#This Row],[Discount Amount]]</f>
        <v>3799.05</v>
      </c>
      <c r="T21" t="s">
        <v>56</v>
      </c>
      <c r="U21" t="s">
        <v>31</v>
      </c>
      <c r="V21" t="s">
        <v>161</v>
      </c>
      <c r="W21" t="s">
        <v>162</v>
      </c>
      <c r="X21" t="s">
        <v>46</v>
      </c>
      <c r="Y21" s="1"/>
      <c r="Z21" s="1">
        <f>Data_Analyst_Intern_Nikhil_Kumar_February2026[[#This Row],[Del Date]]-Data_Analyst_Intern_Nikhil_Kumar_February2026[[#This Row],[Order Date]]</f>
        <v>-45570</v>
      </c>
      <c r="AA21" s="1" t="str" cm="1">
        <f t="array" ref="AA21">_xlfn.IFS(Data_Analyst_Intern_Nikhil_Kumar_February2026[[#This Row],[Del Days]]&lt;=7,"Fast",Data_Analyst_Intern_Nikhil_Kumar_February2026[[#This Row],[Del Days]]&lt;=15,"Standard",Data_Analyst_Intern_Nikhil_Kumar_February2026[[#This Row],[Del Days]]&gt;15,"Slow")</f>
        <v>Fast</v>
      </c>
      <c r="AB21" t="s">
        <v>121</v>
      </c>
      <c r="AC21">
        <f>IF(Data_Analyst_Intern_Nikhil_Kumar_February2026[[#This Row],[Status]]="RTO", 1,0)</f>
        <v>1</v>
      </c>
      <c r="AD21">
        <f>IF(Data_Analyst_Intern_Nikhil_Kumar_February2026[[#This Row],[Status]]="Delivered",1,0)</f>
        <v>0</v>
      </c>
      <c r="AE21" t="s">
        <v>35</v>
      </c>
      <c r="AF21">
        <f>IF(AND(Data_Analyst_Intern_Nikhil_Kumar_February2026[[#This Row],[Status]]="Delivered",Data_Analyst_Intern_Nikhil_Kumar_February2026[[#This Row],[Return?]]="Yes"),1,0)</f>
        <v>0</v>
      </c>
      <c r="AG21" t="s">
        <v>29</v>
      </c>
      <c r="AI21" t="s">
        <v>36</v>
      </c>
    </row>
    <row r="22" spans="1:37" x14ac:dyDescent="0.3">
      <c r="A22" t="s">
        <v>163</v>
      </c>
      <c r="B22" s="1">
        <v>45570</v>
      </c>
      <c r="C22" s="1" t="str">
        <f>TEXT(Data_Analyst_Intern_Nikhil_Kumar_February2026[[#This Row],[Order Date]], "mmmm")</f>
        <v>October</v>
      </c>
      <c r="D22" s="23">
        <f>WEEKNUM(Data_Analyst_Intern_Nikhil_Kumar_February2026[[#This Row],[Order Date]],2)</f>
        <v>40</v>
      </c>
      <c r="E22" s="23" t="str">
        <f>TEXT(Data_Analyst_Intern_Nikhil_Kumar_February2026[[#This Row],[Order Date]],"dddd")</f>
        <v>Saturday</v>
      </c>
      <c r="F22" s="1">
        <v>45565</v>
      </c>
      <c r="G22" s="23" t="str">
        <f>TEXT(WEEKDAY(Data_Analyst_Intern_Nikhil_Kumar_February2026[[#This Row],[Order Date]],2), "dddd")</f>
        <v>Friday</v>
      </c>
      <c r="H22" t="s">
        <v>164</v>
      </c>
      <c r="I22" t="s">
        <v>25</v>
      </c>
      <c r="J22" t="s">
        <v>165</v>
      </c>
      <c r="K22" t="s">
        <v>27</v>
      </c>
      <c r="L22" t="s">
        <v>166</v>
      </c>
      <c r="M22" s="2">
        <v>1699</v>
      </c>
      <c r="N22">
        <v>1</v>
      </c>
      <c r="O22" s="2">
        <v>1699</v>
      </c>
      <c r="P22" t="s">
        <v>29</v>
      </c>
      <c r="Q22">
        <v>0</v>
      </c>
      <c r="R22" s="4">
        <f>IFERROR(Data_Analyst_Intern_Nikhil_Kumar_February2026[[#This Row],[Total]]/Data_Analyst_Intern_Nikhil_Kumar_February2026[[#This Row],[Discount(%)]],0)</f>
        <v>0</v>
      </c>
      <c r="S22" s="2">
        <f>Data_Analyst_Intern_Nikhil_Kumar_February2026[[#This Row],[Total]]-Data_Analyst_Intern_Nikhil_Kumar_February2026[[#This Row],[Discount Amount]]</f>
        <v>1699</v>
      </c>
      <c r="T22" t="s">
        <v>30</v>
      </c>
      <c r="U22" t="s">
        <v>45</v>
      </c>
      <c r="V22" t="s">
        <v>167</v>
      </c>
      <c r="W22" t="s">
        <v>151</v>
      </c>
      <c r="X22" t="s">
        <v>32</v>
      </c>
      <c r="Y22" s="1">
        <v>45580</v>
      </c>
      <c r="Z22" s="3">
        <f>Data_Analyst_Intern_Nikhil_Kumar_February2026[[#This Row],[Del Date]]-Data_Analyst_Intern_Nikhil_Kumar_February2026[[#This Row],[Order Date]]</f>
        <v>10</v>
      </c>
      <c r="AA22" s="3" t="str" cm="1">
        <f t="array" ref="AA22">_xlfn.IFS(Data_Analyst_Intern_Nikhil_Kumar_February2026[[#This Row],[Del Days]]&lt;=7,"Fast",Data_Analyst_Intern_Nikhil_Kumar_February2026[[#This Row],[Del Days]]&lt;=15,"Standard",Data_Analyst_Intern_Nikhil_Kumar_February2026[[#This Row],[Del Days]]&gt;15,"Slow")</f>
        <v>Standard</v>
      </c>
      <c r="AB22" t="s">
        <v>34</v>
      </c>
      <c r="AC22">
        <f>IF(Data_Analyst_Intern_Nikhil_Kumar_February2026[[#This Row],[Status]]="RTO", 1,0)</f>
        <v>0</v>
      </c>
      <c r="AD22">
        <f>IF(Data_Analyst_Intern_Nikhil_Kumar_February2026[[#This Row],[Status]]="Delivered",1,0)</f>
        <v>1</v>
      </c>
      <c r="AE22" t="s">
        <v>35</v>
      </c>
      <c r="AF22">
        <f>IF(AND(Data_Analyst_Intern_Nikhil_Kumar_February2026[[#This Row],[Status]]="Delivered",Data_Analyst_Intern_Nikhil_Kumar_February2026[[#This Row],[Return?]]="Yes"),1,0)</f>
        <v>0</v>
      </c>
      <c r="AG22" t="s">
        <v>29</v>
      </c>
      <c r="AI22" t="s">
        <v>36</v>
      </c>
    </row>
    <row r="23" spans="1:37" x14ac:dyDescent="0.3">
      <c r="A23" t="s">
        <v>168</v>
      </c>
      <c r="B23" s="1">
        <v>45570</v>
      </c>
      <c r="C23" s="1" t="str">
        <f>TEXT(Data_Analyst_Intern_Nikhil_Kumar_February2026[[#This Row],[Order Date]], "mmmm")</f>
        <v>October</v>
      </c>
      <c r="D23" s="23">
        <f>WEEKNUM(Data_Analyst_Intern_Nikhil_Kumar_February2026[[#This Row],[Order Date]],2)</f>
        <v>40</v>
      </c>
      <c r="E23" s="23" t="str">
        <f>TEXT(Data_Analyst_Intern_Nikhil_Kumar_February2026[[#This Row],[Order Date]],"dddd")</f>
        <v>Saturday</v>
      </c>
      <c r="F23" s="1">
        <v>45565</v>
      </c>
      <c r="G23" s="23" t="str">
        <f>TEXT(WEEKDAY(Data_Analyst_Intern_Nikhil_Kumar_February2026[[#This Row],[Order Date]],2), "dddd")</f>
        <v>Friday</v>
      </c>
      <c r="H23" t="s">
        <v>169</v>
      </c>
      <c r="I23" t="s">
        <v>39</v>
      </c>
      <c r="J23" t="s">
        <v>170</v>
      </c>
      <c r="K23" t="s">
        <v>41</v>
      </c>
      <c r="L23" t="s">
        <v>171</v>
      </c>
      <c r="M23" s="2">
        <v>2399</v>
      </c>
      <c r="N23">
        <v>1</v>
      </c>
      <c r="O23" s="2">
        <v>2399</v>
      </c>
      <c r="P23" t="s">
        <v>29</v>
      </c>
      <c r="Q23">
        <v>0</v>
      </c>
      <c r="R23" s="4">
        <f>IFERROR(Data_Analyst_Intern_Nikhil_Kumar_February2026[[#This Row],[Total]]/Data_Analyst_Intern_Nikhil_Kumar_February2026[[#This Row],[Discount(%)]],0)</f>
        <v>0</v>
      </c>
      <c r="S23" s="2">
        <f>Data_Analyst_Intern_Nikhil_Kumar_February2026[[#This Row],[Total]]-Data_Analyst_Intern_Nikhil_Kumar_February2026[[#This Row],[Discount Amount]]</f>
        <v>2399</v>
      </c>
      <c r="T23" t="s">
        <v>44</v>
      </c>
      <c r="U23" t="s">
        <v>31</v>
      </c>
      <c r="V23" t="s">
        <v>172</v>
      </c>
      <c r="W23" t="s">
        <v>33</v>
      </c>
      <c r="X23" t="s">
        <v>32</v>
      </c>
      <c r="Y23" s="1">
        <v>45581</v>
      </c>
      <c r="Z23" s="3">
        <f>Data_Analyst_Intern_Nikhil_Kumar_February2026[[#This Row],[Del Date]]-Data_Analyst_Intern_Nikhil_Kumar_February2026[[#This Row],[Order Date]]</f>
        <v>11</v>
      </c>
      <c r="AA23" s="3" t="str" cm="1">
        <f t="array" ref="AA23">_xlfn.IFS(Data_Analyst_Intern_Nikhil_Kumar_February2026[[#This Row],[Del Days]]&lt;=7,"Fast",Data_Analyst_Intern_Nikhil_Kumar_February2026[[#This Row],[Del Days]]&lt;=15,"Standard",Data_Analyst_Intern_Nikhil_Kumar_February2026[[#This Row],[Del Days]]&gt;15,"Slow")</f>
        <v>Standard</v>
      </c>
      <c r="AB23" t="s">
        <v>34</v>
      </c>
      <c r="AC23">
        <f>IF(Data_Analyst_Intern_Nikhil_Kumar_February2026[[#This Row],[Status]]="RTO", 1,0)</f>
        <v>0</v>
      </c>
      <c r="AD23">
        <f>IF(Data_Analyst_Intern_Nikhil_Kumar_February2026[[#This Row],[Status]]="Delivered",1,0)</f>
        <v>1</v>
      </c>
      <c r="AE23" t="s">
        <v>47</v>
      </c>
      <c r="AF23">
        <f>IF(AND(Data_Analyst_Intern_Nikhil_Kumar_February2026[[#This Row],[Status]]="Delivered",Data_Analyst_Intern_Nikhil_Kumar_February2026[[#This Row],[Return?]]="Yes"),1,0)</f>
        <v>1</v>
      </c>
      <c r="AG23" t="s">
        <v>69</v>
      </c>
      <c r="AH23" s="1">
        <v>45598</v>
      </c>
      <c r="AI23" t="s">
        <v>49</v>
      </c>
    </row>
    <row r="24" spans="1:37" x14ac:dyDescent="0.3">
      <c r="A24" t="s">
        <v>173</v>
      </c>
      <c r="B24" s="1">
        <v>45570</v>
      </c>
      <c r="C24" s="1" t="str">
        <f>TEXT(Data_Analyst_Intern_Nikhil_Kumar_February2026[[#This Row],[Order Date]], "mmmm")</f>
        <v>October</v>
      </c>
      <c r="D24" s="23">
        <f>WEEKNUM(Data_Analyst_Intern_Nikhil_Kumar_February2026[[#This Row],[Order Date]],2)</f>
        <v>40</v>
      </c>
      <c r="E24" s="23" t="str">
        <f>TEXT(Data_Analyst_Intern_Nikhil_Kumar_February2026[[#This Row],[Order Date]],"dddd")</f>
        <v>Saturday</v>
      </c>
      <c r="F24" s="1">
        <v>45565</v>
      </c>
      <c r="G24" s="23" t="str">
        <f>TEXT(WEEKDAY(Data_Analyst_Intern_Nikhil_Kumar_February2026[[#This Row],[Order Date]],2), "dddd")</f>
        <v>Friday</v>
      </c>
      <c r="H24" t="s">
        <v>174</v>
      </c>
      <c r="I24" t="s">
        <v>25</v>
      </c>
      <c r="J24" t="s">
        <v>175</v>
      </c>
      <c r="K24" t="s">
        <v>72</v>
      </c>
      <c r="L24" t="s">
        <v>176</v>
      </c>
      <c r="M24" s="2">
        <v>899</v>
      </c>
      <c r="N24">
        <v>1</v>
      </c>
      <c r="O24" s="2">
        <v>899</v>
      </c>
      <c r="P24" t="s">
        <v>111</v>
      </c>
      <c r="Q24">
        <v>10</v>
      </c>
      <c r="R24" s="4">
        <f>IFERROR(Data_Analyst_Intern_Nikhil_Kumar_February2026[[#This Row],[Total]]/Data_Analyst_Intern_Nikhil_Kumar_February2026[[#This Row],[Discount(%)]],0)</f>
        <v>89.9</v>
      </c>
      <c r="S24" s="2">
        <f>Data_Analyst_Intern_Nikhil_Kumar_February2026[[#This Row],[Total]]-Data_Analyst_Intern_Nikhil_Kumar_February2026[[#This Row],[Discount Amount]]</f>
        <v>809.1</v>
      </c>
      <c r="T24" t="s">
        <v>65</v>
      </c>
      <c r="U24" t="s">
        <v>45</v>
      </c>
      <c r="V24" t="s">
        <v>177</v>
      </c>
      <c r="W24" t="s">
        <v>68</v>
      </c>
      <c r="X24" t="s">
        <v>57</v>
      </c>
      <c r="Y24" s="1">
        <v>45582</v>
      </c>
      <c r="Z24" s="3">
        <f>Data_Analyst_Intern_Nikhil_Kumar_February2026[[#This Row],[Del Date]]-Data_Analyst_Intern_Nikhil_Kumar_February2026[[#This Row],[Order Date]]</f>
        <v>12</v>
      </c>
      <c r="AA24" s="3" t="str" cm="1">
        <f t="array" ref="AA24">_xlfn.IFS(Data_Analyst_Intern_Nikhil_Kumar_February2026[[#This Row],[Del Days]]&lt;=7,"Fast",Data_Analyst_Intern_Nikhil_Kumar_February2026[[#This Row],[Del Days]]&lt;=15,"Standard",Data_Analyst_Intern_Nikhil_Kumar_February2026[[#This Row],[Del Days]]&gt;15,"Slow")</f>
        <v>Standard</v>
      </c>
      <c r="AB24" t="s">
        <v>34</v>
      </c>
      <c r="AC24">
        <f>IF(Data_Analyst_Intern_Nikhil_Kumar_February2026[[#This Row],[Status]]="RTO", 1,0)</f>
        <v>0</v>
      </c>
      <c r="AD24">
        <f>IF(Data_Analyst_Intern_Nikhil_Kumar_February2026[[#This Row],[Status]]="Delivered",1,0)</f>
        <v>1</v>
      </c>
      <c r="AE24" t="s">
        <v>35</v>
      </c>
      <c r="AF24">
        <f>IF(AND(Data_Analyst_Intern_Nikhil_Kumar_February2026[[#This Row],[Status]]="Delivered",Data_Analyst_Intern_Nikhil_Kumar_February2026[[#This Row],[Return?]]="Yes"),1,0)</f>
        <v>0</v>
      </c>
      <c r="AG24" t="s">
        <v>29</v>
      </c>
      <c r="AI24" t="s">
        <v>36</v>
      </c>
    </row>
    <row r="25" spans="1:37" x14ac:dyDescent="0.3">
      <c r="A25" t="s">
        <v>178</v>
      </c>
      <c r="B25" s="1">
        <v>45571</v>
      </c>
      <c r="C25" s="1" t="str">
        <f>TEXT(Data_Analyst_Intern_Nikhil_Kumar_February2026[[#This Row],[Order Date]], "mmmm")</f>
        <v>October</v>
      </c>
      <c r="D25" s="23">
        <f>WEEKNUM(Data_Analyst_Intern_Nikhil_Kumar_February2026[[#This Row],[Order Date]],2)</f>
        <v>40</v>
      </c>
      <c r="E25" s="23" t="str">
        <f>TEXT(Data_Analyst_Intern_Nikhil_Kumar_February2026[[#This Row],[Order Date]],"dddd")</f>
        <v>Sunday</v>
      </c>
      <c r="F25" s="1">
        <v>45565</v>
      </c>
      <c r="G25" s="23" t="str">
        <f>TEXT(WEEKDAY(Data_Analyst_Intern_Nikhil_Kumar_February2026[[#This Row],[Order Date]],2), "dddd")</f>
        <v>Saturday</v>
      </c>
      <c r="H25" t="s">
        <v>179</v>
      </c>
      <c r="I25" t="s">
        <v>25</v>
      </c>
      <c r="J25" t="s">
        <v>180</v>
      </c>
      <c r="K25" t="s">
        <v>54</v>
      </c>
      <c r="L25" t="s">
        <v>181</v>
      </c>
      <c r="M25" s="2">
        <v>1199</v>
      </c>
      <c r="N25">
        <v>3</v>
      </c>
      <c r="O25" s="2">
        <v>3597</v>
      </c>
      <c r="P25" t="s">
        <v>29</v>
      </c>
      <c r="Q25">
        <v>0</v>
      </c>
      <c r="R25" s="4">
        <f>IFERROR(Data_Analyst_Intern_Nikhil_Kumar_February2026[[#This Row],[Total]]/Data_Analyst_Intern_Nikhil_Kumar_February2026[[#This Row],[Discount(%)]],0)</f>
        <v>0</v>
      </c>
      <c r="S25" s="2">
        <f>Data_Analyst_Intern_Nikhil_Kumar_February2026[[#This Row],[Total]]-Data_Analyst_Intern_Nikhil_Kumar_February2026[[#This Row],[Discount Amount]]</f>
        <v>3597</v>
      </c>
      <c r="T25" t="s">
        <v>56</v>
      </c>
      <c r="U25" t="s">
        <v>66</v>
      </c>
      <c r="V25" t="s">
        <v>182</v>
      </c>
      <c r="W25" t="s">
        <v>183</v>
      </c>
      <c r="X25" t="s">
        <v>57</v>
      </c>
      <c r="Y25" s="1">
        <v>45583</v>
      </c>
      <c r="Z25" s="3">
        <f>Data_Analyst_Intern_Nikhil_Kumar_February2026[[#This Row],[Del Date]]-Data_Analyst_Intern_Nikhil_Kumar_February2026[[#This Row],[Order Date]]</f>
        <v>12</v>
      </c>
      <c r="AA25" s="3" t="str" cm="1">
        <f t="array" ref="AA25">_xlfn.IFS(Data_Analyst_Intern_Nikhil_Kumar_February2026[[#This Row],[Del Days]]&lt;=7,"Fast",Data_Analyst_Intern_Nikhil_Kumar_February2026[[#This Row],[Del Days]]&lt;=15,"Standard",Data_Analyst_Intern_Nikhil_Kumar_February2026[[#This Row],[Del Days]]&gt;15,"Slow")</f>
        <v>Standard</v>
      </c>
      <c r="AB25" t="s">
        <v>34</v>
      </c>
      <c r="AC25">
        <f>IF(Data_Analyst_Intern_Nikhil_Kumar_February2026[[#This Row],[Status]]="RTO", 1,0)</f>
        <v>0</v>
      </c>
      <c r="AD25">
        <f>IF(Data_Analyst_Intern_Nikhil_Kumar_February2026[[#This Row],[Status]]="Delivered",1,0)</f>
        <v>1</v>
      </c>
      <c r="AE25" t="s">
        <v>47</v>
      </c>
      <c r="AF25">
        <f>IF(AND(Data_Analyst_Intern_Nikhil_Kumar_February2026[[#This Row],[Status]]="Delivered",Data_Analyst_Intern_Nikhil_Kumar_February2026[[#This Row],[Return?]]="Yes"),1,0)</f>
        <v>1</v>
      </c>
      <c r="AG25" t="s">
        <v>80</v>
      </c>
      <c r="AH25" s="1">
        <v>45601</v>
      </c>
      <c r="AI25" t="s">
        <v>49</v>
      </c>
    </row>
    <row r="26" spans="1:37" x14ac:dyDescent="0.3">
      <c r="A26" t="s">
        <v>184</v>
      </c>
      <c r="B26" s="1">
        <v>45571</v>
      </c>
      <c r="C26" s="1" t="str">
        <f>TEXT(Data_Analyst_Intern_Nikhil_Kumar_February2026[[#This Row],[Order Date]], "mmmm")</f>
        <v>October</v>
      </c>
      <c r="D26" s="23">
        <f>WEEKNUM(Data_Analyst_Intern_Nikhil_Kumar_February2026[[#This Row],[Order Date]],2)</f>
        <v>40</v>
      </c>
      <c r="E26" s="23" t="str">
        <f>TEXT(Data_Analyst_Intern_Nikhil_Kumar_February2026[[#This Row],[Order Date]],"dddd")</f>
        <v>Sunday</v>
      </c>
      <c r="F26" s="1">
        <v>45565</v>
      </c>
      <c r="G26" s="23" t="str">
        <f>TEXT(WEEKDAY(Data_Analyst_Intern_Nikhil_Kumar_February2026[[#This Row],[Order Date]],2), "dddd")</f>
        <v>Saturday</v>
      </c>
      <c r="H26" t="s">
        <v>185</v>
      </c>
      <c r="I26" t="s">
        <v>25</v>
      </c>
      <c r="J26" t="s">
        <v>186</v>
      </c>
      <c r="K26" t="s">
        <v>27</v>
      </c>
      <c r="L26" t="s">
        <v>187</v>
      </c>
      <c r="M26" s="2">
        <v>1799</v>
      </c>
      <c r="N26">
        <v>2</v>
      </c>
      <c r="O26" s="2">
        <v>3598</v>
      </c>
      <c r="P26" t="s">
        <v>29</v>
      </c>
      <c r="Q26">
        <v>0</v>
      </c>
      <c r="R26" s="4">
        <f>IFERROR(Data_Analyst_Intern_Nikhil_Kumar_February2026[[#This Row],[Total]]/Data_Analyst_Intern_Nikhil_Kumar_February2026[[#This Row],[Discount(%)]],0)</f>
        <v>0</v>
      </c>
      <c r="S26" s="2">
        <f>Data_Analyst_Intern_Nikhil_Kumar_February2026[[#This Row],[Total]]-Data_Analyst_Intern_Nikhil_Kumar_February2026[[#This Row],[Discount Amount]]</f>
        <v>3598</v>
      </c>
      <c r="T26" t="s">
        <v>30</v>
      </c>
      <c r="U26" t="s">
        <v>31</v>
      </c>
      <c r="V26" t="s">
        <v>188</v>
      </c>
      <c r="W26" t="s">
        <v>189</v>
      </c>
      <c r="X26" t="s">
        <v>57</v>
      </c>
      <c r="Y26" s="1">
        <v>45582</v>
      </c>
      <c r="Z26" s="3">
        <f>Data_Analyst_Intern_Nikhil_Kumar_February2026[[#This Row],[Del Date]]-Data_Analyst_Intern_Nikhil_Kumar_February2026[[#This Row],[Order Date]]</f>
        <v>11</v>
      </c>
      <c r="AA26" s="3" t="str" cm="1">
        <f t="array" ref="AA26">_xlfn.IFS(Data_Analyst_Intern_Nikhil_Kumar_February2026[[#This Row],[Del Days]]&lt;=7,"Fast",Data_Analyst_Intern_Nikhil_Kumar_February2026[[#This Row],[Del Days]]&lt;=15,"Standard",Data_Analyst_Intern_Nikhil_Kumar_February2026[[#This Row],[Del Days]]&gt;15,"Slow")</f>
        <v>Standard</v>
      </c>
      <c r="AB26" t="s">
        <v>34</v>
      </c>
      <c r="AC26">
        <f>IF(Data_Analyst_Intern_Nikhil_Kumar_February2026[[#This Row],[Status]]="RTO", 1,0)</f>
        <v>0</v>
      </c>
      <c r="AD26">
        <f>IF(Data_Analyst_Intern_Nikhil_Kumar_February2026[[#This Row],[Status]]="Delivered",1,0)</f>
        <v>1</v>
      </c>
      <c r="AE26" t="s">
        <v>35</v>
      </c>
      <c r="AF26">
        <f>IF(AND(Data_Analyst_Intern_Nikhil_Kumar_February2026[[#This Row],[Status]]="Delivered",Data_Analyst_Intern_Nikhil_Kumar_February2026[[#This Row],[Return?]]="Yes"),1,0)</f>
        <v>0</v>
      </c>
      <c r="AG26" t="s">
        <v>29</v>
      </c>
      <c r="AI26" t="s">
        <v>36</v>
      </c>
    </row>
    <row r="27" spans="1:37" x14ac:dyDescent="0.3">
      <c r="A27" t="s">
        <v>190</v>
      </c>
      <c r="B27" s="1">
        <v>45571</v>
      </c>
      <c r="C27" s="1" t="str">
        <f>TEXT(Data_Analyst_Intern_Nikhil_Kumar_February2026[[#This Row],[Order Date]], "mmmm")</f>
        <v>October</v>
      </c>
      <c r="D27" s="23">
        <f>WEEKNUM(Data_Analyst_Intern_Nikhil_Kumar_February2026[[#This Row],[Order Date]],2)</f>
        <v>40</v>
      </c>
      <c r="E27" s="23" t="str">
        <f>TEXT(Data_Analyst_Intern_Nikhil_Kumar_February2026[[#This Row],[Order Date]],"dddd")</f>
        <v>Sunday</v>
      </c>
      <c r="F27" s="1">
        <v>45565</v>
      </c>
      <c r="G27" s="23" t="str">
        <f>TEXT(WEEKDAY(Data_Analyst_Intern_Nikhil_Kumar_February2026[[#This Row],[Order Date]],2), "dddd")</f>
        <v>Saturday</v>
      </c>
      <c r="H27" t="s">
        <v>191</v>
      </c>
      <c r="I27" t="s">
        <v>25</v>
      </c>
      <c r="J27" t="s">
        <v>192</v>
      </c>
      <c r="K27" t="s">
        <v>41</v>
      </c>
      <c r="L27" t="s">
        <v>193</v>
      </c>
      <c r="M27" s="2">
        <v>2699</v>
      </c>
      <c r="N27">
        <v>1</v>
      </c>
      <c r="O27" s="2">
        <v>2699</v>
      </c>
      <c r="P27" t="s">
        <v>29</v>
      </c>
      <c r="Q27">
        <v>0</v>
      </c>
      <c r="R27" s="4">
        <f>IFERROR(Data_Analyst_Intern_Nikhil_Kumar_February2026[[#This Row],[Total]]/Data_Analyst_Intern_Nikhil_Kumar_February2026[[#This Row],[Discount(%)]],0)</f>
        <v>0</v>
      </c>
      <c r="S27" s="2">
        <f>Data_Analyst_Intern_Nikhil_Kumar_February2026[[#This Row],[Total]]-Data_Analyst_Intern_Nikhil_Kumar_February2026[[#This Row],[Discount Amount]]</f>
        <v>2699</v>
      </c>
      <c r="T27" t="s">
        <v>44</v>
      </c>
      <c r="U27" t="s">
        <v>45</v>
      </c>
      <c r="V27" t="s">
        <v>194</v>
      </c>
      <c r="W27" t="s">
        <v>183</v>
      </c>
      <c r="X27" t="s">
        <v>57</v>
      </c>
      <c r="Y27" s="1">
        <v>45583</v>
      </c>
      <c r="Z27" s="3">
        <f>Data_Analyst_Intern_Nikhil_Kumar_February2026[[#This Row],[Del Date]]-Data_Analyst_Intern_Nikhil_Kumar_February2026[[#This Row],[Order Date]]</f>
        <v>12</v>
      </c>
      <c r="AA27" s="3" t="str" cm="1">
        <f t="array" ref="AA27">_xlfn.IFS(Data_Analyst_Intern_Nikhil_Kumar_February2026[[#This Row],[Del Days]]&lt;=7,"Fast",Data_Analyst_Intern_Nikhil_Kumar_February2026[[#This Row],[Del Days]]&lt;=15,"Standard",Data_Analyst_Intern_Nikhil_Kumar_February2026[[#This Row],[Del Days]]&gt;15,"Slow")</f>
        <v>Standard</v>
      </c>
      <c r="AB27" t="s">
        <v>34</v>
      </c>
      <c r="AC27">
        <f>IF(Data_Analyst_Intern_Nikhil_Kumar_February2026[[#This Row],[Status]]="RTO", 1,0)</f>
        <v>0</v>
      </c>
      <c r="AD27">
        <f>IF(Data_Analyst_Intern_Nikhil_Kumar_February2026[[#This Row],[Status]]="Delivered",1,0)</f>
        <v>1</v>
      </c>
      <c r="AE27" t="s">
        <v>35</v>
      </c>
      <c r="AF27">
        <f>IF(AND(Data_Analyst_Intern_Nikhil_Kumar_February2026[[#This Row],[Status]]="Delivered",Data_Analyst_Intern_Nikhil_Kumar_February2026[[#This Row],[Return?]]="Yes"),1,0)</f>
        <v>0</v>
      </c>
      <c r="AG27" t="s">
        <v>29</v>
      </c>
      <c r="AI27" t="s">
        <v>36</v>
      </c>
    </row>
    <row r="28" spans="1:37" x14ac:dyDescent="0.3">
      <c r="A28" t="s">
        <v>195</v>
      </c>
      <c r="B28" s="1">
        <v>45571</v>
      </c>
      <c r="C28" s="1" t="str">
        <f>TEXT(Data_Analyst_Intern_Nikhil_Kumar_February2026[[#This Row],[Order Date]], "mmmm")</f>
        <v>October</v>
      </c>
      <c r="D28" s="23">
        <f>WEEKNUM(Data_Analyst_Intern_Nikhil_Kumar_February2026[[#This Row],[Order Date]],2)</f>
        <v>40</v>
      </c>
      <c r="E28" s="23" t="str">
        <f>TEXT(Data_Analyst_Intern_Nikhil_Kumar_February2026[[#This Row],[Order Date]],"dddd")</f>
        <v>Sunday</v>
      </c>
      <c r="F28" s="1">
        <v>45565</v>
      </c>
      <c r="G28" s="23" t="str">
        <f>TEXT(WEEKDAY(Data_Analyst_Intern_Nikhil_Kumar_February2026[[#This Row],[Order Date]],2), "dddd")</f>
        <v>Saturday</v>
      </c>
      <c r="H28" t="s">
        <v>196</v>
      </c>
      <c r="I28" t="s">
        <v>39</v>
      </c>
      <c r="J28" t="s">
        <v>197</v>
      </c>
      <c r="K28" t="s">
        <v>62</v>
      </c>
      <c r="L28" t="s">
        <v>198</v>
      </c>
      <c r="M28" s="2">
        <v>4599</v>
      </c>
      <c r="N28">
        <v>1</v>
      </c>
      <c r="O28" s="2">
        <v>4599</v>
      </c>
      <c r="P28" t="s">
        <v>111</v>
      </c>
      <c r="Q28">
        <v>10</v>
      </c>
      <c r="R28" s="4">
        <f>IFERROR(Data_Analyst_Intern_Nikhil_Kumar_February2026[[#This Row],[Total]]/Data_Analyst_Intern_Nikhil_Kumar_February2026[[#This Row],[Discount(%)]],0)</f>
        <v>459.9</v>
      </c>
      <c r="S28" s="2">
        <f>Data_Analyst_Intern_Nikhil_Kumar_February2026[[#This Row],[Total]]-Data_Analyst_Intern_Nikhil_Kumar_February2026[[#This Row],[Discount Amount]]</f>
        <v>4139.1000000000004</v>
      </c>
      <c r="T28" t="s">
        <v>65</v>
      </c>
      <c r="U28" t="s">
        <v>31</v>
      </c>
      <c r="V28" t="s">
        <v>199</v>
      </c>
      <c r="W28" t="s">
        <v>58</v>
      </c>
      <c r="X28" t="s">
        <v>57</v>
      </c>
      <c r="Y28" s="1">
        <v>45584</v>
      </c>
      <c r="Z28" s="3">
        <f>Data_Analyst_Intern_Nikhil_Kumar_February2026[[#This Row],[Del Date]]-Data_Analyst_Intern_Nikhil_Kumar_February2026[[#This Row],[Order Date]]</f>
        <v>13</v>
      </c>
      <c r="AA28" s="3" t="str" cm="1">
        <f t="array" ref="AA28">_xlfn.IFS(Data_Analyst_Intern_Nikhil_Kumar_February2026[[#This Row],[Del Days]]&lt;=7,"Fast",Data_Analyst_Intern_Nikhil_Kumar_February2026[[#This Row],[Del Days]]&lt;=15,"Standard",Data_Analyst_Intern_Nikhil_Kumar_February2026[[#This Row],[Del Days]]&gt;15,"Slow")</f>
        <v>Standard</v>
      </c>
      <c r="AB28" t="s">
        <v>34</v>
      </c>
      <c r="AC28">
        <f>IF(Data_Analyst_Intern_Nikhil_Kumar_February2026[[#This Row],[Status]]="RTO", 1,0)</f>
        <v>0</v>
      </c>
      <c r="AD28">
        <f>IF(Data_Analyst_Intern_Nikhil_Kumar_February2026[[#This Row],[Status]]="Delivered",1,0)</f>
        <v>1</v>
      </c>
      <c r="AE28" t="s">
        <v>47</v>
      </c>
      <c r="AF28">
        <f>IF(AND(Data_Analyst_Intern_Nikhil_Kumar_February2026[[#This Row],[Status]]="Delivered",Data_Analyst_Intern_Nikhil_Kumar_February2026[[#This Row],[Return?]]="Yes"),1,0)</f>
        <v>1</v>
      </c>
      <c r="AG28" t="s">
        <v>48</v>
      </c>
      <c r="AH28" s="1">
        <v>45604</v>
      </c>
      <c r="AI28" t="s">
        <v>49</v>
      </c>
    </row>
    <row r="29" spans="1:37" x14ac:dyDescent="0.3">
      <c r="A29" t="s">
        <v>200</v>
      </c>
      <c r="B29" s="1">
        <v>45572</v>
      </c>
      <c r="C29" s="1" t="str">
        <f>TEXT(Data_Analyst_Intern_Nikhil_Kumar_February2026[[#This Row],[Order Date]], "mmmm")</f>
        <v>October</v>
      </c>
      <c r="D29" s="23">
        <f>WEEKNUM(Data_Analyst_Intern_Nikhil_Kumar_February2026[[#This Row],[Order Date]],2)</f>
        <v>41</v>
      </c>
      <c r="E29" s="23" t="str">
        <f>TEXT(Data_Analyst_Intern_Nikhil_Kumar_February2026[[#This Row],[Order Date]],"dddd")</f>
        <v>Monday</v>
      </c>
      <c r="F29" s="1">
        <v>45572</v>
      </c>
      <c r="G29" s="23" t="str">
        <f>TEXT(WEEKDAY(Data_Analyst_Intern_Nikhil_Kumar_February2026[[#This Row],[Order Date]],2), "dddd")</f>
        <v>Sunday</v>
      </c>
      <c r="H29" t="s">
        <v>201</v>
      </c>
      <c r="I29" t="s">
        <v>25</v>
      </c>
      <c r="J29" t="s">
        <v>202</v>
      </c>
      <c r="K29" t="s">
        <v>72</v>
      </c>
      <c r="L29" t="s">
        <v>203</v>
      </c>
      <c r="M29" s="2">
        <v>1099</v>
      </c>
      <c r="N29">
        <v>1</v>
      </c>
      <c r="O29" s="2">
        <v>1099</v>
      </c>
      <c r="P29" t="s">
        <v>29</v>
      </c>
      <c r="Q29">
        <v>0</v>
      </c>
      <c r="R29" s="4">
        <f>IFERROR(Data_Analyst_Intern_Nikhil_Kumar_February2026[[#This Row],[Total]]/Data_Analyst_Intern_Nikhil_Kumar_February2026[[#This Row],[Discount(%)]],0)</f>
        <v>0</v>
      </c>
      <c r="S29" s="2">
        <f>Data_Analyst_Intern_Nikhil_Kumar_February2026[[#This Row],[Total]]-Data_Analyst_Intern_Nikhil_Kumar_February2026[[#This Row],[Discount Amount]]</f>
        <v>1099</v>
      </c>
      <c r="T29" t="s">
        <v>30</v>
      </c>
      <c r="U29" t="s">
        <v>66</v>
      </c>
      <c r="V29" t="s">
        <v>204</v>
      </c>
      <c r="W29" t="s">
        <v>98</v>
      </c>
      <c r="X29" t="s">
        <v>32</v>
      </c>
      <c r="Y29" s="1">
        <v>45585</v>
      </c>
      <c r="Z29" s="3">
        <f>Data_Analyst_Intern_Nikhil_Kumar_February2026[[#This Row],[Del Date]]-Data_Analyst_Intern_Nikhil_Kumar_February2026[[#This Row],[Order Date]]</f>
        <v>13</v>
      </c>
      <c r="AA29" s="3" t="str" cm="1">
        <f t="array" ref="AA29">_xlfn.IFS(Data_Analyst_Intern_Nikhil_Kumar_February2026[[#This Row],[Del Days]]&lt;=7,"Fast",Data_Analyst_Intern_Nikhil_Kumar_February2026[[#This Row],[Del Days]]&lt;=15,"Standard",Data_Analyst_Intern_Nikhil_Kumar_February2026[[#This Row],[Del Days]]&gt;15,"Slow")</f>
        <v>Standard</v>
      </c>
      <c r="AB29" t="s">
        <v>34</v>
      </c>
      <c r="AC29">
        <f>IF(Data_Analyst_Intern_Nikhil_Kumar_February2026[[#This Row],[Status]]="RTO", 1,0)</f>
        <v>0</v>
      </c>
      <c r="AD29">
        <f>IF(Data_Analyst_Intern_Nikhil_Kumar_February2026[[#This Row],[Status]]="Delivered",1,0)</f>
        <v>1</v>
      </c>
      <c r="AE29" t="s">
        <v>35</v>
      </c>
      <c r="AF29">
        <f>IF(AND(Data_Analyst_Intern_Nikhil_Kumar_February2026[[#This Row],[Status]]="Delivered",Data_Analyst_Intern_Nikhil_Kumar_February2026[[#This Row],[Return?]]="Yes"),1,0)</f>
        <v>0</v>
      </c>
      <c r="AG29" t="s">
        <v>29</v>
      </c>
      <c r="AI29" t="s">
        <v>36</v>
      </c>
    </row>
    <row r="30" spans="1:37" x14ac:dyDescent="0.3">
      <c r="A30" t="s">
        <v>205</v>
      </c>
      <c r="B30" s="1">
        <v>45572</v>
      </c>
      <c r="C30" s="1" t="str">
        <f>TEXT(Data_Analyst_Intern_Nikhil_Kumar_February2026[[#This Row],[Order Date]], "mmmm")</f>
        <v>October</v>
      </c>
      <c r="D30" s="23">
        <f>WEEKNUM(Data_Analyst_Intern_Nikhil_Kumar_February2026[[#This Row],[Order Date]],2)</f>
        <v>41</v>
      </c>
      <c r="E30" s="23" t="str">
        <f>TEXT(Data_Analyst_Intern_Nikhil_Kumar_February2026[[#This Row],[Order Date]],"dddd")</f>
        <v>Monday</v>
      </c>
      <c r="F30" s="1">
        <v>45572</v>
      </c>
      <c r="G30" s="23" t="str">
        <f>TEXT(WEEKDAY(Data_Analyst_Intern_Nikhil_Kumar_February2026[[#This Row],[Order Date]],2), "dddd")</f>
        <v>Sunday</v>
      </c>
      <c r="H30" t="s">
        <v>206</v>
      </c>
      <c r="I30" t="s">
        <v>25</v>
      </c>
      <c r="J30" t="s">
        <v>207</v>
      </c>
      <c r="K30" t="s">
        <v>27</v>
      </c>
      <c r="L30" t="s">
        <v>208</v>
      </c>
      <c r="M30" s="2">
        <v>1899</v>
      </c>
      <c r="N30">
        <v>1</v>
      </c>
      <c r="O30" s="2">
        <v>1899</v>
      </c>
      <c r="P30" t="s">
        <v>29</v>
      </c>
      <c r="Q30">
        <v>0</v>
      </c>
      <c r="R30" s="4">
        <f>IFERROR(Data_Analyst_Intern_Nikhil_Kumar_February2026[[#This Row],[Total]]/Data_Analyst_Intern_Nikhil_Kumar_February2026[[#This Row],[Discount(%)]],0)</f>
        <v>0</v>
      </c>
      <c r="S30" s="2">
        <f>Data_Analyst_Intern_Nikhil_Kumar_February2026[[#This Row],[Total]]-Data_Analyst_Intern_Nikhil_Kumar_February2026[[#This Row],[Discount Amount]]</f>
        <v>1899</v>
      </c>
      <c r="T30" t="s">
        <v>56</v>
      </c>
      <c r="U30" t="s">
        <v>45</v>
      </c>
      <c r="V30" t="s">
        <v>209</v>
      </c>
      <c r="W30" t="s">
        <v>98</v>
      </c>
      <c r="X30" t="s">
        <v>32</v>
      </c>
      <c r="Y30" s="1"/>
      <c r="Z30" s="1">
        <f>Data_Analyst_Intern_Nikhil_Kumar_February2026[[#This Row],[Del Date]]-Data_Analyst_Intern_Nikhil_Kumar_February2026[[#This Row],[Order Date]]</f>
        <v>-45572</v>
      </c>
      <c r="AA30" s="1" t="str" cm="1">
        <f t="array" ref="AA30">_xlfn.IFS(Data_Analyst_Intern_Nikhil_Kumar_February2026[[#This Row],[Del Days]]&lt;=7,"Fast",Data_Analyst_Intern_Nikhil_Kumar_February2026[[#This Row],[Del Days]]&lt;=15,"Standard",Data_Analyst_Intern_Nikhil_Kumar_February2026[[#This Row],[Del Days]]&gt;15,"Slow")</f>
        <v>Fast</v>
      </c>
      <c r="AB30" t="s">
        <v>121</v>
      </c>
      <c r="AC30">
        <f>IF(Data_Analyst_Intern_Nikhil_Kumar_February2026[[#This Row],[Status]]="RTO", 1,0)</f>
        <v>1</v>
      </c>
      <c r="AD30">
        <f>IF(Data_Analyst_Intern_Nikhil_Kumar_February2026[[#This Row],[Status]]="Delivered",1,0)</f>
        <v>0</v>
      </c>
      <c r="AE30" t="s">
        <v>35</v>
      </c>
      <c r="AF30">
        <f>IF(AND(Data_Analyst_Intern_Nikhil_Kumar_February2026[[#This Row],[Status]]="Delivered",Data_Analyst_Intern_Nikhil_Kumar_February2026[[#This Row],[Return?]]="Yes"),1,0)</f>
        <v>0</v>
      </c>
      <c r="AG30" t="s">
        <v>29</v>
      </c>
      <c r="AI30" t="s">
        <v>36</v>
      </c>
    </row>
    <row r="31" spans="1:37" x14ac:dyDescent="0.3">
      <c r="A31" t="s">
        <v>210</v>
      </c>
      <c r="B31" s="1">
        <v>45572</v>
      </c>
      <c r="C31" s="1" t="str">
        <f>TEXT(Data_Analyst_Intern_Nikhil_Kumar_February2026[[#This Row],[Order Date]], "mmmm")</f>
        <v>October</v>
      </c>
      <c r="D31" s="23">
        <f>WEEKNUM(Data_Analyst_Intern_Nikhil_Kumar_February2026[[#This Row],[Order Date]],2)</f>
        <v>41</v>
      </c>
      <c r="E31" s="23" t="str">
        <f>TEXT(Data_Analyst_Intern_Nikhil_Kumar_February2026[[#This Row],[Order Date]],"dddd")</f>
        <v>Monday</v>
      </c>
      <c r="F31" s="1">
        <v>45572</v>
      </c>
      <c r="G31" s="23" t="str">
        <f>TEXT(WEEKDAY(Data_Analyst_Intern_Nikhil_Kumar_February2026[[#This Row],[Order Date]],2), "dddd")</f>
        <v>Sunday</v>
      </c>
      <c r="H31" t="s">
        <v>211</v>
      </c>
      <c r="I31" t="s">
        <v>25</v>
      </c>
      <c r="J31" t="s">
        <v>212</v>
      </c>
      <c r="K31" t="s">
        <v>54</v>
      </c>
      <c r="L31" t="s">
        <v>213</v>
      </c>
      <c r="M31" s="2">
        <v>2199</v>
      </c>
      <c r="N31">
        <v>1</v>
      </c>
      <c r="O31" s="2">
        <v>2199</v>
      </c>
      <c r="P31" t="s">
        <v>43</v>
      </c>
      <c r="Q31">
        <v>20</v>
      </c>
      <c r="R31" s="4">
        <f>IFERROR(Data_Analyst_Intern_Nikhil_Kumar_February2026[[#This Row],[Total]]/Data_Analyst_Intern_Nikhil_Kumar_February2026[[#This Row],[Discount(%)]],0)</f>
        <v>109.95</v>
      </c>
      <c r="S31" s="2">
        <f>Data_Analyst_Intern_Nikhil_Kumar_February2026[[#This Row],[Total]]-Data_Analyst_Intern_Nikhil_Kumar_February2026[[#This Row],[Discount Amount]]</f>
        <v>2089.0500000000002</v>
      </c>
      <c r="T31" t="s">
        <v>44</v>
      </c>
      <c r="U31" t="s">
        <v>31</v>
      </c>
      <c r="V31" t="s">
        <v>214</v>
      </c>
      <c r="W31" t="s">
        <v>114</v>
      </c>
      <c r="X31" t="s">
        <v>46</v>
      </c>
      <c r="Y31" s="1">
        <v>45585</v>
      </c>
      <c r="Z31" s="3">
        <f>Data_Analyst_Intern_Nikhil_Kumar_February2026[[#This Row],[Del Date]]-Data_Analyst_Intern_Nikhil_Kumar_February2026[[#This Row],[Order Date]]</f>
        <v>13</v>
      </c>
      <c r="AA31" s="3" t="str" cm="1">
        <f t="array" ref="AA31">_xlfn.IFS(Data_Analyst_Intern_Nikhil_Kumar_February2026[[#This Row],[Del Days]]&lt;=7,"Fast",Data_Analyst_Intern_Nikhil_Kumar_February2026[[#This Row],[Del Days]]&lt;=15,"Standard",Data_Analyst_Intern_Nikhil_Kumar_February2026[[#This Row],[Del Days]]&gt;15,"Slow")</f>
        <v>Standard</v>
      </c>
      <c r="AB31" t="s">
        <v>34</v>
      </c>
      <c r="AC31">
        <f>IF(Data_Analyst_Intern_Nikhil_Kumar_February2026[[#This Row],[Status]]="RTO", 1,0)</f>
        <v>0</v>
      </c>
      <c r="AD31">
        <f>IF(Data_Analyst_Intern_Nikhil_Kumar_February2026[[#This Row],[Status]]="Delivered",1,0)</f>
        <v>1</v>
      </c>
      <c r="AE31" t="s">
        <v>35</v>
      </c>
      <c r="AF31">
        <f>IF(AND(Data_Analyst_Intern_Nikhil_Kumar_February2026[[#This Row],[Status]]="Delivered",Data_Analyst_Intern_Nikhil_Kumar_February2026[[#This Row],[Return?]]="Yes"),1,0)</f>
        <v>0</v>
      </c>
      <c r="AG31" t="s">
        <v>29</v>
      </c>
      <c r="AI31" t="s">
        <v>36</v>
      </c>
    </row>
    <row r="32" spans="1:37" x14ac:dyDescent="0.3">
      <c r="A32" t="s">
        <v>215</v>
      </c>
      <c r="B32" s="1">
        <v>45572</v>
      </c>
      <c r="C32" s="1" t="str">
        <f>TEXT(Data_Analyst_Intern_Nikhil_Kumar_February2026[[#This Row],[Order Date]], "mmmm")</f>
        <v>October</v>
      </c>
      <c r="D32" s="23">
        <f>WEEKNUM(Data_Analyst_Intern_Nikhil_Kumar_February2026[[#This Row],[Order Date]],2)</f>
        <v>41</v>
      </c>
      <c r="E32" s="23" t="str">
        <f>TEXT(Data_Analyst_Intern_Nikhil_Kumar_February2026[[#This Row],[Order Date]],"dddd")</f>
        <v>Monday</v>
      </c>
      <c r="F32" s="1">
        <v>45572</v>
      </c>
      <c r="G32" s="23" t="str">
        <f>TEXT(WEEKDAY(Data_Analyst_Intern_Nikhil_Kumar_February2026[[#This Row],[Order Date]],2), "dddd")</f>
        <v>Sunday</v>
      </c>
      <c r="H32" t="s">
        <v>216</v>
      </c>
      <c r="I32" t="s">
        <v>39</v>
      </c>
      <c r="J32" t="s">
        <v>217</v>
      </c>
      <c r="K32" t="s">
        <v>41</v>
      </c>
      <c r="L32" t="s">
        <v>218</v>
      </c>
      <c r="M32" s="2">
        <v>5499</v>
      </c>
      <c r="N32">
        <v>1</v>
      </c>
      <c r="O32" s="2">
        <v>5499</v>
      </c>
      <c r="P32" t="s">
        <v>29</v>
      </c>
      <c r="Q32">
        <v>0</v>
      </c>
      <c r="R32" s="4">
        <f>IFERROR(Data_Analyst_Intern_Nikhil_Kumar_February2026[[#This Row],[Total]]/Data_Analyst_Intern_Nikhil_Kumar_February2026[[#This Row],[Discount(%)]],0)</f>
        <v>0</v>
      </c>
      <c r="S32" s="2">
        <f>Data_Analyst_Intern_Nikhil_Kumar_February2026[[#This Row],[Total]]-Data_Analyst_Intern_Nikhil_Kumar_February2026[[#This Row],[Discount Amount]]</f>
        <v>5499</v>
      </c>
      <c r="T32" t="s">
        <v>44</v>
      </c>
      <c r="U32" t="s">
        <v>45</v>
      </c>
      <c r="V32" t="s">
        <v>32</v>
      </c>
      <c r="W32" t="s">
        <v>33</v>
      </c>
      <c r="X32" t="s">
        <v>32</v>
      </c>
      <c r="Y32" s="1">
        <v>45586</v>
      </c>
      <c r="Z32" s="3">
        <f>Data_Analyst_Intern_Nikhil_Kumar_February2026[[#This Row],[Del Date]]-Data_Analyst_Intern_Nikhil_Kumar_February2026[[#This Row],[Order Date]]</f>
        <v>14</v>
      </c>
      <c r="AA32" s="3" t="str" cm="1">
        <f t="array" ref="AA32">_xlfn.IFS(Data_Analyst_Intern_Nikhil_Kumar_February2026[[#This Row],[Del Days]]&lt;=7,"Fast",Data_Analyst_Intern_Nikhil_Kumar_February2026[[#This Row],[Del Days]]&lt;=15,"Standard",Data_Analyst_Intern_Nikhil_Kumar_February2026[[#This Row],[Del Days]]&gt;15,"Slow")</f>
        <v>Standard</v>
      </c>
      <c r="AB32" t="s">
        <v>34</v>
      </c>
      <c r="AC32">
        <f>IF(Data_Analyst_Intern_Nikhil_Kumar_February2026[[#This Row],[Status]]="RTO", 1,0)</f>
        <v>0</v>
      </c>
      <c r="AD32">
        <f>IF(Data_Analyst_Intern_Nikhil_Kumar_February2026[[#This Row],[Status]]="Delivered",1,0)</f>
        <v>1</v>
      </c>
      <c r="AE32" t="s">
        <v>47</v>
      </c>
      <c r="AF32">
        <f>IF(AND(Data_Analyst_Intern_Nikhil_Kumar_February2026[[#This Row],[Status]]="Delivered",Data_Analyst_Intern_Nikhil_Kumar_February2026[[#This Row],[Return?]]="Yes"),1,0)</f>
        <v>1</v>
      </c>
      <c r="AG32" t="s">
        <v>48</v>
      </c>
      <c r="AH32" s="1">
        <v>45606</v>
      </c>
      <c r="AI32" t="s">
        <v>49</v>
      </c>
    </row>
    <row r="33" spans="1:35" x14ac:dyDescent="0.3">
      <c r="A33" t="s">
        <v>219</v>
      </c>
      <c r="B33" s="1">
        <v>45573</v>
      </c>
      <c r="C33" s="1" t="str">
        <f>TEXT(Data_Analyst_Intern_Nikhil_Kumar_February2026[[#This Row],[Order Date]], "mmmm")</f>
        <v>October</v>
      </c>
      <c r="D33" s="23">
        <f>WEEKNUM(Data_Analyst_Intern_Nikhil_Kumar_February2026[[#This Row],[Order Date]],2)</f>
        <v>41</v>
      </c>
      <c r="E33" s="23" t="str">
        <f>TEXT(Data_Analyst_Intern_Nikhil_Kumar_February2026[[#This Row],[Order Date]],"dddd")</f>
        <v>Tuesday</v>
      </c>
      <c r="F33" s="1">
        <v>45572</v>
      </c>
      <c r="G33" s="23" t="str">
        <f>TEXT(WEEKDAY(Data_Analyst_Intern_Nikhil_Kumar_February2026[[#This Row],[Order Date]],2), "dddd")</f>
        <v>Monday</v>
      </c>
      <c r="H33" t="s">
        <v>220</v>
      </c>
      <c r="I33" t="s">
        <v>25</v>
      </c>
      <c r="J33" t="s">
        <v>221</v>
      </c>
      <c r="K33" t="s">
        <v>27</v>
      </c>
      <c r="L33" t="s">
        <v>222</v>
      </c>
      <c r="M33" s="2">
        <v>899</v>
      </c>
      <c r="N33">
        <v>2</v>
      </c>
      <c r="O33" s="2">
        <v>1798</v>
      </c>
      <c r="P33" t="s">
        <v>29</v>
      </c>
      <c r="Q33">
        <v>0</v>
      </c>
      <c r="R33" s="4">
        <f>IFERROR(Data_Analyst_Intern_Nikhil_Kumar_February2026[[#This Row],[Total]]/Data_Analyst_Intern_Nikhil_Kumar_February2026[[#This Row],[Discount(%)]],0)</f>
        <v>0</v>
      </c>
      <c r="S33" s="2">
        <f>Data_Analyst_Intern_Nikhil_Kumar_February2026[[#This Row],[Total]]-Data_Analyst_Intern_Nikhil_Kumar_February2026[[#This Row],[Discount Amount]]</f>
        <v>1798</v>
      </c>
      <c r="T33" t="s">
        <v>30</v>
      </c>
      <c r="U33" t="s">
        <v>31</v>
      </c>
      <c r="V33" t="s">
        <v>46</v>
      </c>
      <c r="W33" t="s">
        <v>46</v>
      </c>
      <c r="X33" t="s">
        <v>46</v>
      </c>
      <c r="Y33" s="1">
        <v>45579</v>
      </c>
      <c r="Z33" s="3">
        <f>Data_Analyst_Intern_Nikhil_Kumar_February2026[[#This Row],[Del Date]]-Data_Analyst_Intern_Nikhil_Kumar_February2026[[#This Row],[Order Date]]</f>
        <v>6</v>
      </c>
      <c r="AA33" s="3" t="str" cm="1">
        <f t="array" ref="AA33">_xlfn.IFS(Data_Analyst_Intern_Nikhil_Kumar_February2026[[#This Row],[Del Days]]&lt;=7,"Fast",Data_Analyst_Intern_Nikhil_Kumar_February2026[[#This Row],[Del Days]]&lt;=15,"Standard",Data_Analyst_Intern_Nikhil_Kumar_February2026[[#This Row],[Del Days]]&gt;15,"Slow")</f>
        <v>Fast</v>
      </c>
      <c r="AB33" t="s">
        <v>34</v>
      </c>
      <c r="AC33">
        <f>IF(Data_Analyst_Intern_Nikhil_Kumar_February2026[[#This Row],[Status]]="RTO", 1,0)</f>
        <v>0</v>
      </c>
      <c r="AD33">
        <f>IF(Data_Analyst_Intern_Nikhil_Kumar_February2026[[#This Row],[Status]]="Delivered",1,0)</f>
        <v>1</v>
      </c>
      <c r="AE33" t="s">
        <v>35</v>
      </c>
      <c r="AF33">
        <f>IF(AND(Data_Analyst_Intern_Nikhil_Kumar_February2026[[#This Row],[Status]]="Delivered",Data_Analyst_Intern_Nikhil_Kumar_February2026[[#This Row],[Return?]]="Yes"),1,0)</f>
        <v>0</v>
      </c>
      <c r="AG33" t="s">
        <v>29</v>
      </c>
      <c r="AI33" t="s">
        <v>36</v>
      </c>
    </row>
    <row r="34" spans="1:35" x14ac:dyDescent="0.3">
      <c r="A34" t="s">
        <v>223</v>
      </c>
      <c r="B34" s="1">
        <v>45573</v>
      </c>
      <c r="C34" s="1" t="str">
        <f>TEXT(Data_Analyst_Intern_Nikhil_Kumar_February2026[[#This Row],[Order Date]], "mmmm")</f>
        <v>October</v>
      </c>
      <c r="D34" s="23">
        <f>WEEKNUM(Data_Analyst_Intern_Nikhil_Kumar_February2026[[#This Row],[Order Date]],2)</f>
        <v>41</v>
      </c>
      <c r="E34" s="23" t="str">
        <f>TEXT(Data_Analyst_Intern_Nikhil_Kumar_February2026[[#This Row],[Order Date]],"dddd")</f>
        <v>Tuesday</v>
      </c>
      <c r="F34" s="1">
        <v>45572</v>
      </c>
      <c r="G34" s="23" t="str">
        <f>TEXT(WEEKDAY(Data_Analyst_Intern_Nikhil_Kumar_February2026[[#This Row],[Order Date]],2), "dddd")</f>
        <v>Monday</v>
      </c>
      <c r="H34" t="s">
        <v>224</v>
      </c>
      <c r="I34" t="s">
        <v>25</v>
      </c>
      <c r="J34" t="s">
        <v>225</v>
      </c>
      <c r="K34" t="s">
        <v>62</v>
      </c>
      <c r="L34" t="s">
        <v>226</v>
      </c>
      <c r="M34" s="2">
        <v>6999</v>
      </c>
      <c r="N34">
        <v>1</v>
      </c>
      <c r="O34" s="2">
        <v>6999</v>
      </c>
      <c r="P34" t="s">
        <v>64</v>
      </c>
      <c r="Q34">
        <v>15</v>
      </c>
      <c r="R34" s="4">
        <f>IFERROR(Data_Analyst_Intern_Nikhil_Kumar_February2026[[#This Row],[Total]]/Data_Analyst_Intern_Nikhil_Kumar_February2026[[#This Row],[Discount(%)]],0)</f>
        <v>466.6</v>
      </c>
      <c r="S34" s="2">
        <f>Data_Analyst_Intern_Nikhil_Kumar_February2026[[#This Row],[Total]]-Data_Analyst_Intern_Nikhil_Kumar_February2026[[#This Row],[Discount Amount]]</f>
        <v>6532.4</v>
      </c>
      <c r="T34" t="s">
        <v>65</v>
      </c>
      <c r="U34" t="s">
        <v>66</v>
      </c>
      <c r="V34" t="s">
        <v>91</v>
      </c>
      <c r="W34" t="s">
        <v>92</v>
      </c>
      <c r="X34" t="s">
        <v>46</v>
      </c>
      <c r="Y34" s="1">
        <v>45581</v>
      </c>
      <c r="Z34" s="3">
        <f>Data_Analyst_Intern_Nikhil_Kumar_February2026[[#This Row],[Del Date]]-Data_Analyst_Intern_Nikhil_Kumar_February2026[[#This Row],[Order Date]]</f>
        <v>8</v>
      </c>
      <c r="AA34" s="3" t="str" cm="1">
        <f t="array" ref="AA34">_xlfn.IFS(Data_Analyst_Intern_Nikhil_Kumar_February2026[[#This Row],[Del Days]]&lt;=7,"Fast",Data_Analyst_Intern_Nikhil_Kumar_February2026[[#This Row],[Del Days]]&lt;=15,"Standard",Data_Analyst_Intern_Nikhil_Kumar_February2026[[#This Row],[Del Days]]&gt;15,"Slow")</f>
        <v>Standard</v>
      </c>
      <c r="AB34" t="s">
        <v>34</v>
      </c>
      <c r="AC34">
        <f>IF(Data_Analyst_Intern_Nikhil_Kumar_February2026[[#This Row],[Status]]="RTO", 1,0)</f>
        <v>0</v>
      </c>
      <c r="AD34">
        <f>IF(Data_Analyst_Intern_Nikhil_Kumar_February2026[[#This Row],[Status]]="Delivered",1,0)</f>
        <v>1</v>
      </c>
      <c r="AE34" t="s">
        <v>47</v>
      </c>
      <c r="AF34">
        <f>IF(AND(Data_Analyst_Intern_Nikhil_Kumar_February2026[[#This Row],[Status]]="Delivered",Data_Analyst_Intern_Nikhil_Kumar_February2026[[#This Row],[Return?]]="Yes"),1,0)</f>
        <v>1</v>
      </c>
      <c r="AG34" t="s">
        <v>69</v>
      </c>
      <c r="AH34" s="1">
        <v>45601</v>
      </c>
      <c r="AI34" t="s">
        <v>49</v>
      </c>
    </row>
    <row r="35" spans="1:35" x14ac:dyDescent="0.3">
      <c r="A35" t="s">
        <v>227</v>
      </c>
      <c r="B35" s="1">
        <v>45573</v>
      </c>
      <c r="C35" s="1" t="str">
        <f>TEXT(Data_Analyst_Intern_Nikhil_Kumar_February2026[[#This Row],[Order Date]], "mmmm")</f>
        <v>October</v>
      </c>
      <c r="D35" s="23">
        <f>WEEKNUM(Data_Analyst_Intern_Nikhil_Kumar_February2026[[#This Row],[Order Date]],2)</f>
        <v>41</v>
      </c>
      <c r="E35" s="23" t="str">
        <f>TEXT(Data_Analyst_Intern_Nikhil_Kumar_February2026[[#This Row],[Order Date]],"dddd")</f>
        <v>Tuesday</v>
      </c>
      <c r="F35" s="1">
        <v>45572</v>
      </c>
      <c r="G35" s="23" t="str">
        <f>TEXT(WEEKDAY(Data_Analyst_Intern_Nikhil_Kumar_February2026[[#This Row],[Order Date]],2), "dddd")</f>
        <v>Monday</v>
      </c>
      <c r="H35" t="s">
        <v>228</v>
      </c>
      <c r="I35" t="s">
        <v>39</v>
      </c>
      <c r="J35" t="s">
        <v>229</v>
      </c>
      <c r="K35" t="s">
        <v>72</v>
      </c>
      <c r="L35" t="s">
        <v>230</v>
      </c>
      <c r="M35" s="2">
        <v>2999</v>
      </c>
      <c r="N35">
        <v>1</v>
      </c>
      <c r="O35" s="2">
        <v>2999</v>
      </c>
      <c r="P35" t="s">
        <v>29</v>
      </c>
      <c r="Q35">
        <v>0</v>
      </c>
      <c r="R35" s="4">
        <f>IFERROR(Data_Analyst_Intern_Nikhil_Kumar_February2026[[#This Row],[Total]]/Data_Analyst_Intern_Nikhil_Kumar_February2026[[#This Row],[Discount(%)]],0)</f>
        <v>0</v>
      </c>
      <c r="S35" s="2">
        <f>Data_Analyst_Intern_Nikhil_Kumar_February2026[[#This Row],[Total]]-Data_Analyst_Intern_Nikhil_Kumar_February2026[[#This Row],[Discount Amount]]</f>
        <v>2999</v>
      </c>
      <c r="T35" t="s">
        <v>44</v>
      </c>
      <c r="U35" t="s">
        <v>45</v>
      </c>
      <c r="V35" t="s">
        <v>67</v>
      </c>
      <c r="W35" t="s">
        <v>68</v>
      </c>
      <c r="X35" t="s">
        <v>57</v>
      </c>
      <c r="Y35" s="1">
        <v>45580</v>
      </c>
      <c r="Z35" s="3">
        <f>Data_Analyst_Intern_Nikhil_Kumar_February2026[[#This Row],[Del Date]]-Data_Analyst_Intern_Nikhil_Kumar_February2026[[#This Row],[Order Date]]</f>
        <v>7</v>
      </c>
      <c r="AA35" s="3" t="str" cm="1">
        <f t="array" ref="AA35">_xlfn.IFS(Data_Analyst_Intern_Nikhil_Kumar_February2026[[#This Row],[Del Days]]&lt;=7,"Fast",Data_Analyst_Intern_Nikhil_Kumar_February2026[[#This Row],[Del Days]]&lt;=15,"Standard",Data_Analyst_Intern_Nikhil_Kumar_February2026[[#This Row],[Del Days]]&gt;15,"Slow")</f>
        <v>Fast</v>
      </c>
      <c r="AB35" t="s">
        <v>34</v>
      </c>
      <c r="AC35">
        <f>IF(Data_Analyst_Intern_Nikhil_Kumar_February2026[[#This Row],[Status]]="RTO", 1,0)</f>
        <v>0</v>
      </c>
      <c r="AD35">
        <f>IF(Data_Analyst_Intern_Nikhil_Kumar_February2026[[#This Row],[Status]]="Delivered",1,0)</f>
        <v>1</v>
      </c>
      <c r="AE35" t="s">
        <v>35</v>
      </c>
      <c r="AF35">
        <f>IF(AND(Data_Analyst_Intern_Nikhil_Kumar_February2026[[#This Row],[Status]]="Delivered",Data_Analyst_Intern_Nikhil_Kumar_February2026[[#This Row],[Return?]]="Yes"),1,0)</f>
        <v>0</v>
      </c>
      <c r="AG35" t="s">
        <v>29</v>
      </c>
      <c r="AI35" t="s">
        <v>36</v>
      </c>
    </row>
    <row r="36" spans="1:35" x14ac:dyDescent="0.3">
      <c r="A36" t="s">
        <v>231</v>
      </c>
      <c r="B36" s="1">
        <v>45573</v>
      </c>
      <c r="C36" s="1" t="str">
        <f>TEXT(Data_Analyst_Intern_Nikhil_Kumar_February2026[[#This Row],[Order Date]], "mmmm")</f>
        <v>October</v>
      </c>
      <c r="D36" s="23">
        <f>WEEKNUM(Data_Analyst_Intern_Nikhil_Kumar_February2026[[#This Row],[Order Date]],2)</f>
        <v>41</v>
      </c>
      <c r="E36" s="23" t="str">
        <f>TEXT(Data_Analyst_Intern_Nikhil_Kumar_February2026[[#This Row],[Order Date]],"dddd")</f>
        <v>Tuesday</v>
      </c>
      <c r="F36" s="1">
        <v>45572</v>
      </c>
      <c r="G36" s="23" t="str">
        <f>TEXT(WEEKDAY(Data_Analyst_Intern_Nikhil_Kumar_February2026[[#This Row],[Order Date]],2), "dddd")</f>
        <v>Monday</v>
      </c>
      <c r="H36" t="s">
        <v>232</v>
      </c>
      <c r="I36" t="s">
        <v>25</v>
      </c>
      <c r="J36" t="s">
        <v>233</v>
      </c>
      <c r="K36" t="s">
        <v>54</v>
      </c>
      <c r="L36" t="s">
        <v>234</v>
      </c>
      <c r="M36" s="2">
        <v>1599</v>
      </c>
      <c r="N36">
        <v>1</v>
      </c>
      <c r="O36" s="2">
        <v>1599</v>
      </c>
      <c r="P36" t="s">
        <v>29</v>
      </c>
      <c r="Q36">
        <v>0</v>
      </c>
      <c r="R36" s="4">
        <f>IFERROR(Data_Analyst_Intern_Nikhil_Kumar_February2026[[#This Row],[Total]]/Data_Analyst_Intern_Nikhil_Kumar_February2026[[#This Row],[Discount(%)]],0)</f>
        <v>0</v>
      </c>
      <c r="S36" s="2">
        <f>Data_Analyst_Intern_Nikhil_Kumar_February2026[[#This Row],[Total]]-Data_Analyst_Intern_Nikhil_Kumar_February2026[[#This Row],[Discount Amount]]</f>
        <v>1599</v>
      </c>
      <c r="T36" t="s">
        <v>56</v>
      </c>
      <c r="U36" t="s">
        <v>31</v>
      </c>
      <c r="V36" t="s">
        <v>78</v>
      </c>
      <c r="W36" t="s">
        <v>79</v>
      </c>
      <c r="X36" t="s">
        <v>57</v>
      </c>
      <c r="Y36" s="1">
        <v>45582</v>
      </c>
      <c r="Z36" s="3">
        <f>Data_Analyst_Intern_Nikhil_Kumar_February2026[[#This Row],[Del Date]]-Data_Analyst_Intern_Nikhil_Kumar_February2026[[#This Row],[Order Date]]</f>
        <v>9</v>
      </c>
      <c r="AA36" s="3" t="str" cm="1">
        <f t="array" ref="AA36">_xlfn.IFS(Data_Analyst_Intern_Nikhil_Kumar_February2026[[#This Row],[Del Days]]&lt;=7,"Fast",Data_Analyst_Intern_Nikhil_Kumar_February2026[[#This Row],[Del Days]]&lt;=15,"Standard",Data_Analyst_Intern_Nikhil_Kumar_February2026[[#This Row],[Del Days]]&gt;15,"Slow")</f>
        <v>Standard</v>
      </c>
      <c r="AB36" t="s">
        <v>34</v>
      </c>
      <c r="AC36">
        <f>IF(Data_Analyst_Intern_Nikhil_Kumar_February2026[[#This Row],[Status]]="RTO", 1,0)</f>
        <v>0</v>
      </c>
      <c r="AD36">
        <f>IF(Data_Analyst_Intern_Nikhil_Kumar_February2026[[#This Row],[Status]]="Delivered",1,0)</f>
        <v>1</v>
      </c>
      <c r="AE36" t="s">
        <v>47</v>
      </c>
      <c r="AF36">
        <f>IF(AND(Data_Analyst_Intern_Nikhil_Kumar_February2026[[#This Row],[Status]]="Delivered",Data_Analyst_Intern_Nikhil_Kumar_February2026[[#This Row],[Return?]]="Yes"),1,0)</f>
        <v>1</v>
      </c>
      <c r="AG36" t="s">
        <v>48</v>
      </c>
      <c r="AH36" s="1">
        <v>45604</v>
      </c>
      <c r="AI36" t="s">
        <v>49</v>
      </c>
    </row>
    <row r="37" spans="1:35" x14ac:dyDescent="0.3">
      <c r="A37" t="s">
        <v>235</v>
      </c>
      <c r="B37" s="1">
        <v>45574</v>
      </c>
      <c r="C37" s="1" t="str">
        <f>TEXT(Data_Analyst_Intern_Nikhil_Kumar_February2026[[#This Row],[Order Date]], "mmmm")</f>
        <v>October</v>
      </c>
      <c r="D37" s="23">
        <f>WEEKNUM(Data_Analyst_Intern_Nikhil_Kumar_February2026[[#This Row],[Order Date]],2)</f>
        <v>41</v>
      </c>
      <c r="E37" s="23" t="str">
        <f>TEXT(Data_Analyst_Intern_Nikhil_Kumar_February2026[[#This Row],[Order Date]],"dddd")</f>
        <v>Wednesday</v>
      </c>
      <c r="F37" s="1">
        <v>45572</v>
      </c>
      <c r="G37" s="23" t="str">
        <f>TEXT(WEEKDAY(Data_Analyst_Intern_Nikhil_Kumar_February2026[[#This Row],[Order Date]],2), "dddd")</f>
        <v>Tuesday</v>
      </c>
      <c r="H37" t="s">
        <v>236</v>
      </c>
      <c r="I37" t="s">
        <v>25</v>
      </c>
      <c r="J37" t="s">
        <v>237</v>
      </c>
      <c r="K37" t="s">
        <v>41</v>
      </c>
      <c r="L37" t="s">
        <v>238</v>
      </c>
      <c r="M37" s="2">
        <v>1999</v>
      </c>
      <c r="N37">
        <v>1</v>
      </c>
      <c r="O37" s="2">
        <v>1999</v>
      </c>
      <c r="P37" t="s">
        <v>43</v>
      </c>
      <c r="Q37">
        <v>20</v>
      </c>
      <c r="R37" s="4">
        <f>IFERROR(Data_Analyst_Intern_Nikhil_Kumar_February2026[[#This Row],[Total]]/Data_Analyst_Intern_Nikhil_Kumar_February2026[[#This Row],[Discount(%)]],0)</f>
        <v>99.95</v>
      </c>
      <c r="S37" s="2">
        <f>Data_Analyst_Intern_Nikhil_Kumar_February2026[[#This Row],[Total]]-Data_Analyst_Intern_Nikhil_Kumar_February2026[[#This Row],[Discount Amount]]</f>
        <v>1899.05</v>
      </c>
      <c r="T37" t="s">
        <v>112</v>
      </c>
      <c r="U37" t="s">
        <v>45</v>
      </c>
      <c r="V37" t="s">
        <v>85</v>
      </c>
      <c r="W37" t="s">
        <v>33</v>
      </c>
      <c r="X37" t="s">
        <v>32</v>
      </c>
      <c r="Y37" s="1">
        <v>45581</v>
      </c>
      <c r="Z37" s="3">
        <f>Data_Analyst_Intern_Nikhil_Kumar_February2026[[#This Row],[Del Date]]-Data_Analyst_Intern_Nikhil_Kumar_February2026[[#This Row],[Order Date]]</f>
        <v>7</v>
      </c>
      <c r="AA37" s="3" t="str" cm="1">
        <f t="array" ref="AA37">_xlfn.IFS(Data_Analyst_Intern_Nikhil_Kumar_February2026[[#This Row],[Del Days]]&lt;=7,"Fast",Data_Analyst_Intern_Nikhil_Kumar_February2026[[#This Row],[Del Days]]&lt;=15,"Standard",Data_Analyst_Intern_Nikhil_Kumar_February2026[[#This Row],[Del Days]]&gt;15,"Slow")</f>
        <v>Fast</v>
      </c>
      <c r="AB37" t="s">
        <v>34</v>
      </c>
      <c r="AC37">
        <f>IF(Data_Analyst_Intern_Nikhil_Kumar_February2026[[#This Row],[Status]]="RTO", 1,0)</f>
        <v>0</v>
      </c>
      <c r="AD37">
        <f>IF(Data_Analyst_Intern_Nikhil_Kumar_February2026[[#This Row],[Status]]="Delivered",1,0)</f>
        <v>1</v>
      </c>
      <c r="AE37" t="s">
        <v>35</v>
      </c>
      <c r="AF37">
        <f>IF(AND(Data_Analyst_Intern_Nikhil_Kumar_February2026[[#This Row],[Status]]="Delivered",Data_Analyst_Intern_Nikhil_Kumar_February2026[[#This Row],[Return?]]="Yes"),1,0)</f>
        <v>0</v>
      </c>
      <c r="AG37" t="s">
        <v>29</v>
      </c>
      <c r="AI37" t="s">
        <v>36</v>
      </c>
    </row>
    <row r="38" spans="1:35" x14ac:dyDescent="0.3">
      <c r="A38" t="s">
        <v>239</v>
      </c>
      <c r="B38" s="1">
        <v>45574</v>
      </c>
      <c r="C38" s="1" t="str">
        <f>TEXT(Data_Analyst_Intern_Nikhil_Kumar_February2026[[#This Row],[Order Date]], "mmmm")</f>
        <v>October</v>
      </c>
      <c r="D38" s="23">
        <f>WEEKNUM(Data_Analyst_Intern_Nikhil_Kumar_February2026[[#This Row],[Order Date]],2)</f>
        <v>41</v>
      </c>
      <c r="E38" s="23" t="str">
        <f>TEXT(Data_Analyst_Intern_Nikhil_Kumar_February2026[[#This Row],[Order Date]],"dddd")</f>
        <v>Wednesday</v>
      </c>
      <c r="F38" s="1">
        <v>45572</v>
      </c>
      <c r="G38" s="23" t="str">
        <f>TEXT(WEEKDAY(Data_Analyst_Intern_Nikhil_Kumar_February2026[[#This Row],[Order Date]],2), "dddd")</f>
        <v>Tuesday</v>
      </c>
      <c r="H38" t="s">
        <v>240</v>
      </c>
      <c r="I38" t="s">
        <v>25</v>
      </c>
      <c r="J38" t="s">
        <v>241</v>
      </c>
      <c r="K38" t="s">
        <v>27</v>
      </c>
      <c r="L38" t="s">
        <v>242</v>
      </c>
      <c r="M38" s="2">
        <v>1799</v>
      </c>
      <c r="N38">
        <v>1</v>
      </c>
      <c r="O38" s="2">
        <v>1799</v>
      </c>
      <c r="P38" t="s">
        <v>29</v>
      </c>
      <c r="Q38">
        <v>0</v>
      </c>
      <c r="R38" s="4">
        <f>IFERROR(Data_Analyst_Intern_Nikhil_Kumar_February2026[[#This Row],[Total]]/Data_Analyst_Intern_Nikhil_Kumar_February2026[[#This Row],[Discount(%)]],0)</f>
        <v>0</v>
      </c>
      <c r="S38" s="2">
        <f>Data_Analyst_Intern_Nikhil_Kumar_February2026[[#This Row],[Total]]-Data_Analyst_Intern_Nikhil_Kumar_February2026[[#This Row],[Discount Amount]]</f>
        <v>1799</v>
      </c>
      <c r="T38" t="s">
        <v>30</v>
      </c>
      <c r="U38" t="s">
        <v>66</v>
      </c>
      <c r="V38" t="s">
        <v>97</v>
      </c>
      <c r="W38" t="s">
        <v>98</v>
      </c>
      <c r="X38" t="s">
        <v>32</v>
      </c>
      <c r="Y38" s="1">
        <v>45582</v>
      </c>
      <c r="Z38" s="3">
        <f>Data_Analyst_Intern_Nikhil_Kumar_February2026[[#This Row],[Del Date]]-Data_Analyst_Intern_Nikhil_Kumar_February2026[[#This Row],[Order Date]]</f>
        <v>8</v>
      </c>
      <c r="AA38" s="3" t="str" cm="1">
        <f t="array" ref="AA38">_xlfn.IFS(Data_Analyst_Intern_Nikhil_Kumar_February2026[[#This Row],[Del Days]]&lt;=7,"Fast",Data_Analyst_Intern_Nikhil_Kumar_February2026[[#This Row],[Del Days]]&lt;=15,"Standard",Data_Analyst_Intern_Nikhil_Kumar_February2026[[#This Row],[Del Days]]&gt;15,"Slow")</f>
        <v>Standard</v>
      </c>
      <c r="AB38" t="s">
        <v>34</v>
      </c>
      <c r="AC38">
        <f>IF(Data_Analyst_Intern_Nikhil_Kumar_February2026[[#This Row],[Status]]="RTO", 1,0)</f>
        <v>0</v>
      </c>
      <c r="AD38">
        <f>IF(Data_Analyst_Intern_Nikhil_Kumar_February2026[[#This Row],[Status]]="Delivered",1,0)</f>
        <v>1</v>
      </c>
      <c r="AE38" t="s">
        <v>47</v>
      </c>
      <c r="AF38">
        <f>IF(AND(Data_Analyst_Intern_Nikhil_Kumar_February2026[[#This Row],[Status]]="Delivered",Data_Analyst_Intern_Nikhil_Kumar_February2026[[#This Row],[Return?]]="Yes"),1,0)</f>
        <v>1</v>
      </c>
      <c r="AG38" t="s">
        <v>80</v>
      </c>
      <c r="AH38" s="1">
        <v>45608</v>
      </c>
      <c r="AI38" t="s">
        <v>49</v>
      </c>
    </row>
    <row r="39" spans="1:35" x14ac:dyDescent="0.3">
      <c r="A39" t="s">
        <v>243</v>
      </c>
      <c r="B39" s="1">
        <v>45574</v>
      </c>
      <c r="C39" s="1" t="str">
        <f>TEXT(Data_Analyst_Intern_Nikhil_Kumar_February2026[[#This Row],[Order Date]], "mmmm")</f>
        <v>October</v>
      </c>
      <c r="D39" s="23">
        <f>WEEKNUM(Data_Analyst_Intern_Nikhil_Kumar_February2026[[#This Row],[Order Date]],2)</f>
        <v>41</v>
      </c>
      <c r="E39" s="23" t="str">
        <f>TEXT(Data_Analyst_Intern_Nikhil_Kumar_February2026[[#This Row],[Order Date]],"dddd")</f>
        <v>Wednesday</v>
      </c>
      <c r="F39" s="1">
        <v>45572</v>
      </c>
      <c r="G39" s="23" t="str">
        <f>TEXT(WEEKDAY(Data_Analyst_Intern_Nikhil_Kumar_February2026[[#This Row],[Order Date]],2), "dddd")</f>
        <v>Tuesday</v>
      </c>
      <c r="H39" t="s">
        <v>244</v>
      </c>
      <c r="I39" t="s">
        <v>39</v>
      </c>
      <c r="J39" t="s">
        <v>245</v>
      </c>
      <c r="K39" t="s">
        <v>62</v>
      </c>
      <c r="L39" t="s">
        <v>246</v>
      </c>
      <c r="M39" s="2">
        <v>7999</v>
      </c>
      <c r="N39">
        <v>1</v>
      </c>
      <c r="O39" s="2">
        <v>7999</v>
      </c>
      <c r="P39" t="s">
        <v>29</v>
      </c>
      <c r="Q39">
        <v>0</v>
      </c>
      <c r="R39" s="4">
        <f>IFERROR(Data_Analyst_Intern_Nikhil_Kumar_February2026[[#This Row],[Total]]/Data_Analyst_Intern_Nikhil_Kumar_February2026[[#This Row],[Discount(%)]],0)</f>
        <v>0</v>
      </c>
      <c r="S39" s="2">
        <f>Data_Analyst_Intern_Nikhil_Kumar_February2026[[#This Row],[Total]]-Data_Analyst_Intern_Nikhil_Kumar_February2026[[#This Row],[Discount Amount]]</f>
        <v>7999</v>
      </c>
      <c r="T39" t="s">
        <v>44</v>
      </c>
      <c r="U39" t="s">
        <v>31</v>
      </c>
      <c r="V39" t="s">
        <v>103</v>
      </c>
      <c r="W39" t="s">
        <v>104</v>
      </c>
      <c r="X39" t="s">
        <v>46</v>
      </c>
      <c r="Y39" s="1">
        <v>45583</v>
      </c>
      <c r="Z39" s="3">
        <f>Data_Analyst_Intern_Nikhil_Kumar_February2026[[#This Row],[Del Date]]-Data_Analyst_Intern_Nikhil_Kumar_February2026[[#This Row],[Order Date]]</f>
        <v>9</v>
      </c>
      <c r="AA39" s="3" t="str" cm="1">
        <f t="array" ref="AA39">_xlfn.IFS(Data_Analyst_Intern_Nikhil_Kumar_February2026[[#This Row],[Del Days]]&lt;=7,"Fast",Data_Analyst_Intern_Nikhil_Kumar_February2026[[#This Row],[Del Days]]&lt;=15,"Standard",Data_Analyst_Intern_Nikhil_Kumar_February2026[[#This Row],[Del Days]]&gt;15,"Slow")</f>
        <v>Standard</v>
      </c>
      <c r="AB39" t="s">
        <v>34</v>
      </c>
      <c r="AC39">
        <f>IF(Data_Analyst_Intern_Nikhil_Kumar_February2026[[#This Row],[Status]]="RTO", 1,0)</f>
        <v>0</v>
      </c>
      <c r="AD39">
        <f>IF(Data_Analyst_Intern_Nikhil_Kumar_February2026[[#This Row],[Status]]="Delivered",1,0)</f>
        <v>1</v>
      </c>
      <c r="AE39" t="s">
        <v>35</v>
      </c>
      <c r="AF39">
        <f>IF(AND(Data_Analyst_Intern_Nikhil_Kumar_February2026[[#This Row],[Status]]="Delivered",Data_Analyst_Intern_Nikhil_Kumar_February2026[[#This Row],[Return?]]="Yes"),1,0)</f>
        <v>0</v>
      </c>
      <c r="AG39" t="s">
        <v>29</v>
      </c>
      <c r="AI39" t="s">
        <v>36</v>
      </c>
    </row>
    <row r="40" spans="1:35" x14ac:dyDescent="0.3">
      <c r="A40" t="s">
        <v>247</v>
      </c>
      <c r="B40" s="1">
        <v>45574</v>
      </c>
      <c r="C40" s="1" t="str">
        <f>TEXT(Data_Analyst_Intern_Nikhil_Kumar_February2026[[#This Row],[Order Date]], "mmmm")</f>
        <v>October</v>
      </c>
      <c r="D40" s="23">
        <f>WEEKNUM(Data_Analyst_Intern_Nikhil_Kumar_February2026[[#This Row],[Order Date]],2)</f>
        <v>41</v>
      </c>
      <c r="E40" s="23" t="str">
        <f>TEXT(Data_Analyst_Intern_Nikhil_Kumar_February2026[[#This Row],[Order Date]],"dddd")</f>
        <v>Wednesday</v>
      </c>
      <c r="F40" s="1">
        <v>45572</v>
      </c>
      <c r="G40" s="23" t="str">
        <f>TEXT(WEEKDAY(Data_Analyst_Intern_Nikhil_Kumar_February2026[[#This Row],[Order Date]],2), "dddd")</f>
        <v>Tuesday</v>
      </c>
      <c r="H40" t="s">
        <v>248</v>
      </c>
      <c r="I40" t="s">
        <v>25</v>
      </c>
      <c r="J40" t="s">
        <v>249</v>
      </c>
      <c r="K40" t="s">
        <v>72</v>
      </c>
      <c r="L40" t="s">
        <v>250</v>
      </c>
      <c r="M40" s="2">
        <v>1499</v>
      </c>
      <c r="N40">
        <v>1</v>
      </c>
      <c r="O40" s="2">
        <v>1499</v>
      </c>
      <c r="P40" t="s">
        <v>111</v>
      </c>
      <c r="Q40">
        <v>10</v>
      </c>
      <c r="R40" s="4">
        <f>IFERROR(Data_Analyst_Intern_Nikhil_Kumar_February2026[[#This Row],[Total]]/Data_Analyst_Intern_Nikhil_Kumar_February2026[[#This Row],[Discount(%)]],0)</f>
        <v>149.9</v>
      </c>
      <c r="S40" s="2">
        <f>Data_Analyst_Intern_Nikhil_Kumar_February2026[[#This Row],[Total]]-Data_Analyst_Intern_Nikhil_Kumar_February2026[[#This Row],[Discount Amount]]</f>
        <v>1349.1</v>
      </c>
      <c r="T40" t="s">
        <v>65</v>
      </c>
      <c r="U40" t="s">
        <v>45</v>
      </c>
      <c r="V40" t="s">
        <v>113</v>
      </c>
      <c r="W40" t="s">
        <v>114</v>
      </c>
      <c r="X40" t="s">
        <v>46</v>
      </c>
      <c r="Y40" s="1">
        <v>45582</v>
      </c>
      <c r="Z40" s="3">
        <f>Data_Analyst_Intern_Nikhil_Kumar_February2026[[#This Row],[Del Date]]-Data_Analyst_Intern_Nikhil_Kumar_February2026[[#This Row],[Order Date]]</f>
        <v>8</v>
      </c>
      <c r="AA40" s="3" t="str" cm="1">
        <f t="array" ref="AA40">_xlfn.IFS(Data_Analyst_Intern_Nikhil_Kumar_February2026[[#This Row],[Del Days]]&lt;=7,"Fast",Data_Analyst_Intern_Nikhil_Kumar_February2026[[#This Row],[Del Days]]&lt;=15,"Standard",Data_Analyst_Intern_Nikhil_Kumar_February2026[[#This Row],[Del Days]]&gt;15,"Slow")</f>
        <v>Standard</v>
      </c>
      <c r="AB40" t="s">
        <v>34</v>
      </c>
      <c r="AC40">
        <f>IF(Data_Analyst_Intern_Nikhil_Kumar_February2026[[#This Row],[Status]]="RTO", 1,0)</f>
        <v>0</v>
      </c>
      <c r="AD40">
        <f>IF(Data_Analyst_Intern_Nikhil_Kumar_February2026[[#This Row],[Status]]="Delivered",1,0)</f>
        <v>1</v>
      </c>
      <c r="AE40" t="s">
        <v>35</v>
      </c>
      <c r="AF40">
        <f>IF(AND(Data_Analyst_Intern_Nikhil_Kumar_February2026[[#This Row],[Status]]="Delivered",Data_Analyst_Intern_Nikhil_Kumar_February2026[[#This Row],[Return?]]="Yes"),1,0)</f>
        <v>0</v>
      </c>
      <c r="AG40" t="s">
        <v>29</v>
      </c>
      <c r="AI40" t="s">
        <v>36</v>
      </c>
    </row>
    <row r="41" spans="1:35" x14ac:dyDescent="0.3">
      <c r="A41" t="s">
        <v>251</v>
      </c>
      <c r="B41" s="1">
        <v>45575</v>
      </c>
      <c r="C41" s="1" t="str">
        <f>TEXT(Data_Analyst_Intern_Nikhil_Kumar_February2026[[#This Row],[Order Date]], "mmmm")</f>
        <v>October</v>
      </c>
      <c r="D41" s="23">
        <f>WEEKNUM(Data_Analyst_Intern_Nikhil_Kumar_February2026[[#This Row],[Order Date]],2)</f>
        <v>41</v>
      </c>
      <c r="E41" s="23" t="str">
        <f>TEXT(Data_Analyst_Intern_Nikhil_Kumar_February2026[[#This Row],[Order Date]],"dddd")</f>
        <v>Thursday</v>
      </c>
      <c r="F41" s="1">
        <v>45572</v>
      </c>
      <c r="G41" s="23" t="str">
        <f>TEXT(WEEKDAY(Data_Analyst_Intern_Nikhil_Kumar_February2026[[#This Row],[Order Date]],2), "dddd")</f>
        <v>Wednesday</v>
      </c>
      <c r="H41" t="s">
        <v>252</v>
      </c>
      <c r="I41" t="s">
        <v>25</v>
      </c>
      <c r="J41" t="s">
        <v>253</v>
      </c>
      <c r="K41" t="s">
        <v>54</v>
      </c>
      <c r="L41" t="s">
        <v>254</v>
      </c>
      <c r="M41" s="2">
        <v>1699</v>
      </c>
      <c r="N41">
        <v>1</v>
      </c>
      <c r="O41" s="2">
        <v>1699</v>
      </c>
      <c r="P41" t="s">
        <v>29</v>
      </c>
      <c r="Q41">
        <v>0</v>
      </c>
      <c r="R41" s="4">
        <f>IFERROR(Data_Analyst_Intern_Nikhil_Kumar_February2026[[#This Row],[Total]]/Data_Analyst_Intern_Nikhil_Kumar_February2026[[#This Row],[Discount(%)]],0)</f>
        <v>0</v>
      </c>
      <c r="S41" s="2">
        <f>Data_Analyst_Intern_Nikhil_Kumar_February2026[[#This Row],[Total]]-Data_Analyst_Intern_Nikhil_Kumar_February2026[[#This Row],[Discount Amount]]</f>
        <v>1699</v>
      </c>
      <c r="T41" t="s">
        <v>56</v>
      </c>
      <c r="U41" t="s">
        <v>31</v>
      </c>
      <c r="V41" t="s">
        <v>57</v>
      </c>
      <c r="W41" t="s">
        <v>58</v>
      </c>
      <c r="X41" t="s">
        <v>57</v>
      </c>
      <c r="Y41" s="1">
        <v>45584</v>
      </c>
      <c r="Z41" s="3">
        <f>Data_Analyst_Intern_Nikhil_Kumar_February2026[[#This Row],[Del Date]]-Data_Analyst_Intern_Nikhil_Kumar_February2026[[#This Row],[Order Date]]</f>
        <v>9</v>
      </c>
      <c r="AA41" s="3" t="str" cm="1">
        <f t="array" ref="AA41">_xlfn.IFS(Data_Analyst_Intern_Nikhil_Kumar_February2026[[#This Row],[Del Days]]&lt;=7,"Fast",Data_Analyst_Intern_Nikhil_Kumar_February2026[[#This Row],[Del Days]]&lt;=15,"Standard",Data_Analyst_Intern_Nikhil_Kumar_February2026[[#This Row],[Del Days]]&gt;15,"Slow")</f>
        <v>Standard</v>
      </c>
      <c r="AB41" t="s">
        <v>34</v>
      </c>
      <c r="AC41">
        <f>IF(Data_Analyst_Intern_Nikhil_Kumar_February2026[[#This Row],[Status]]="RTO", 1,0)</f>
        <v>0</v>
      </c>
      <c r="AD41">
        <f>IF(Data_Analyst_Intern_Nikhil_Kumar_February2026[[#This Row],[Status]]="Delivered",1,0)</f>
        <v>1</v>
      </c>
      <c r="AE41" t="s">
        <v>47</v>
      </c>
      <c r="AF41">
        <f>IF(AND(Data_Analyst_Intern_Nikhil_Kumar_February2026[[#This Row],[Status]]="Delivered",Data_Analyst_Intern_Nikhil_Kumar_February2026[[#This Row],[Return?]]="Yes"),1,0)</f>
        <v>1</v>
      </c>
      <c r="AG41" t="s">
        <v>48</v>
      </c>
      <c r="AH41" s="1">
        <v>45606</v>
      </c>
      <c r="AI41" t="s">
        <v>49</v>
      </c>
    </row>
    <row r="42" spans="1:35" x14ac:dyDescent="0.3">
      <c r="A42" t="s">
        <v>255</v>
      </c>
      <c r="B42" s="1">
        <v>45575</v>
      </c>
      <c r="C42" s="1" t="str">
        <f>TEXT(Data_Analyst_Intern_Nikhil_Kumar_February2026[[#This Row],[Order Date]], "mmmm")</f>
        <v>October</v>
      </c>
      <c r="D42" s="23">
        <f>WEEKNUM(Data_Analyst_Intern_Nikhil_Kumar_February2026[[#This Row],[Order Date]],2)</f>
        <v>41</v>
      </c>
      <c r="E42" s="23" t="str">
        <f>TEXT(Data_Analyst_Intern_Nikhil_Kumar_February2026[[#This Row],[Order Date]],"dddd")</f>
        <v>Thursday</v>
      </c>
      <c r="F42" s="1">
        <v>45572</v>
      </c>
      <c r="G42" s="23" t="str">
        <f>TEXT(WEEKDAY(Data_Analyst_Intern_Nikhil_Kumar_February2026[[#This Row],[Order Date]],2), "dddd")</f>
        <v>Wednesday</v>
      </c>
      <c r="H42" t="s">
        <v>256</v>
      </c>
      <c r="I42" t="s">
        <v>25</v>
      </c>
      <c r="J42" t="s">
        <v>257</v>
      </c>
      <c r="K42" t="s">
        <v>41</v>
      </c>
      <c r="L42" t="s">
        <v>258</v>
      </c>
      <c r="M42" s="2">
        <v>2299</v>
      </c>
      <c r="N42">
        <v>1</v>
      </c>
      <c r="O42" s="2">
        <v>2299</v>
      </c>
      <c r="P42" t="s">
        <v>29</v>
      </c>
      <c r="Q42">
        <v>0</v>
      </c>
      <c r="R42" s="4">
        <f>IFERROR(Data_Analyst_Intern_Nikhil_Kumar_February2026[[#This Row],[Total]]/Data_Analyst_Intern_Nikhil_Kumar_February2026[[#This Row],[Discount(%)]],0)</f>
        <v>0</v>
      </c>
      <c r="S42" s="2">
        <f>Data_Analyst_Intern_Nikhil_Kumar_February2026[[#This Row],[Total]]-Data_Analyst_Intern_Nikhil_Kumar_February2026[[#This Row],[Discount Amount]]</f>
        <v>2299</v>
      </c>
      <c r="T42" t="s">
        <v>30</v>
      </c>
      <c r="U42" t="s">
        <v>66</v>
      </c>
      <c r="V42" t="s">
        <v>32</v>
      </c>
      <c r="W42" t="s">
        <v>33</v>
      </c>
      <c r="X42" t="s">
        <v>32</v>
      </c>
      <c r="Y42" s="1">
        <v>45583</v>
      </c>
      <c r="Z42" s="3">
        <f>Data_Analyst_Intern_Nikhil_Kumar_February2026[[#This Row],[Del Date]]-Data_Analyst_Intern_Nikhil_Kumar_February2026[[#This Row],[Order Date]]</f>
        <v>8</v>
      </c>
      <c r="AA42" s="3" t="str" cm="1">
        <f t="array" ref="AA42">_xlfn.IFS(Data_Analyst_Intern_Nikhil_Kumar_February2026[[#This Row],[Del Days]]&lt;=7,"Fast",Data_Analyst_Intern_Nikhil_Kumar_February2026[[#This Row],[Del Days]]&lt;=15,"Standard",Data_Analyst_Intern_Nikhil_Kumar_February2026[[#This Row],[Del Days]]&gt;15,"Slow")</f>
        <v>Standard</v>
      </c>
      <c r="AB42" t="s">
        <v>34</v>
      </c>
      <c r="AC42">
        <f>IF(Data_Analyst_Intern_Nikhil_Kumar_February2026[[#This Row],[Status]]="RTO", 1,0)</f>
        <v>0</v>
      </c>
      <c r="AD42">
        <f>IF(Data_Analyst_Intern_Nikhil_Kumar_February2026[[#This Row],[Status]]="Delivered",1,0)</f>
        <v>1</v>
      </c>
      <c r="AE42" t="s">
        <v>35</v>
      </c>
      <c r="AF42">
        <f>IF(AND(Data_Analyst_Intern_Nikhil_Kumar_February2026[[#This Row],[Status]]="Delivered",Data_Analyst_Intern_Nikhil_Kumar_February2026[[#This Row],[Return?]]="Yes"),1,0)</f>
        <v>0</v>
      </c>
      <c r="AG42" t="s">
        <v>29</v>
      </c>
      <c r="AI42" t="s">
        <v>36</v>
      </c>
    </row>
    <row r="43" spans="1:35" x14ac:dyDescent="0.3">
      <c r="A43" t="s">
        <v>259</v>
      </c>
      <c r="B43" s="1">
        <v>45575</v>
      </c>
      <c r="C43" s="1" t="str">
        <f>TEXT(Data_Analyst_Intern_Nikhil_Kumar_February2026[[#This Row],[Order Date]], "mmmm")</f>
        <v>October</v>
      </c>
      <c r="D43" s="23">
        <f>WEEKNUM(Data_Analyst_Intern_Nikhil_Kumar_February2026[[#This Row],[Order Date]],2)</f>
        <v>41</v>
      </c>
      <c r="E43" s="23" t="str">
        <f>TEXT(Data_Analyst_Intern_Nikhil_Kumar_February2026[[#This Row],[Order Date]],"dddd")</f>
        <v>Thursday</v>
      </c>
      <c r="F43" s="1">
        <v>45572</v>
      </c>
      <c r="G43" s="23" t="str">
        <f>TEXT(WEEKDAY(Data_Analyst_Intern_Nikhil_Kumar_February2026[[#This Row],[Order Date]],2), "dddd")</f>
        <v>Wednesday</v>
      </c>
      <c r="H43" t="s">
        <v>260</v>
      </c>
      <c r="I43" t="s">
        <v>39</v>
      </c>
      <c r="J43" t="s">
        <v>261</v>
      </c>
      <c r="K43" t="s">
        <v>27</v>
      </c>
      <c r="L43" t="s">
        <v>262</v>
      </c>
      <c r="M43" s="2">
        <v>1599</v>
      </c>
      <c r="N43">
        <v>2</v>
      </c>
      <c r="O43" s="2">
        <v>3198</v>
      </c>
      <c r="P43" t="s">
        <v>43</v>
      </c>
      <c r="Q43">
        <v>20</v>
      </c>
      <c r="R43" s="4">
        <f>IFERROR(Data_Analyst_Intern_Nikhil_Kumar_February2026[[#This Row],[Total]]/Data_Analyst_Intern_Nikhil_Kumar_February2026[[#This Row],[Discount(%)]],0)</f>
        <v>159.9</v>
      </c>
      <c r="S43" s="2">
        <f>Data_Analyst_Intern_Nikhil_Kumar_February2026[[#This Row],[Total]]-Data_Analyst_Intern_Nikhil_Kumar_February2026[[#This Row],[Discount Amount]]</f>
        <v>3038.1</v>
      </c>
      <c r="T43" t="s">
        <v>44</v>
      </c>
      <c r="U43" t="s">
        <v>45</v>
      </c>
      <c r="V43" t="s">
        <v>46</v>
      </c>
      <c r="W43" t="s">
        <v>46</v>
      </c>
      <c r="X43" t="s">
        <v>46</v>
      </c>
      <c r="Y43" s="1">
        <v>45582</v>
      </c>
      <c r="Z43" s="3">
        <f>Data_Analyst_Intern_Nikhil_Kumar_February2026[[#This Row],[Del Date]]-Data_Analyst_Intern_Nikhil_Kumar_February2026[[#This Row],[Order Date]]</f>
        <v>7</v>
      </c>
      <c r="AA43" s="3" t="str" cm="1">
        <f t="array" ref="AA43">_xlfn.IFS(Data_Analyst_Intern_Nikhil_Kumar_February2026[[#This Row],[Del Days]]&lt;=7,"Fast",Data_Analyst_Intern_Nikhil_Kumar_February2026[[#This Row],[Del Days]]&lt;=15,"Standard",Data_Analyst_Intern_Nikhil_Kumar_February2026[[#This Row],[Del Days]]&gt;15,"Slow")</f>
        <v>Fast</v>
      </c>
      <c r="AB43" t="s">
        <v>34</v>
      </c>
      <c r="AC43">
        <f>IF(Data_Analyst_Intern_Nikhil_Kumar_February2026[[#This Row],[Status]]="RTO", 1,0)</f>
        <v>0</v>
      </c>
      <c r="AD43">
        <f>IF(Data_Analyst_Intern_Nikhil_Kumar_February2026[[#This Row],[Status]]="Delivered",1,0)</f>
        <v>1</v>
      </c>
      <c r="AE43" t="s">
        <v>47</v>
      </c>
      <c r="AF43">
        <f>IF(AND(Data_Analyst_Intern_Nikhil_Kumar_February2026[[#This Row],[Status]]="Delivered",Data_Analyst_Intern_Nikhil_Kumar_February2026[[#This Row],[Return?]]="Yes"),1,0)</f>
        <v>1</v>
      </c>
      <c r="AG43" t="s">
        <v>105</v>
      </c>
      <c r="AH43" s="1">
        <v>45604</v>
      </c>
      <c r="AI43" t="s">
        <v>49</v>
      </c>
    </row>
    <row r="44" spans="1:35" x14ac:dyDescent="0.3">
      <c r="A44" t="s">
        <v>263</v>
      </c>
      <c r="B44" s="1">
        <v>45575</v>
      </c>
      <c r="C44" s="1" t="str">
        <f>TEXT(Data_Analyst_Intern_Nikhil_Kumar_February2026[[#This Row],[Order Date]], "mmmm")</f>
        <v>October</v>
      </c>
      <c r="D44" s="23">
        <f>WEEKNUM(Data_Analyst_Intern_Nikhil_Kumar_February2026[[#This Row],[Order Date]],2)</f>
        <v>41</v>
      </c>
      <c r="E44" s="23" t="str">
        <f>TEXT(Data_Analyst_Intern_Nikhil_Kumar_February2026[[#This Row],[Order Date]],"dddd")</f>
        <v>Thursday</v>
      </c>
      <c r="F44" s="1">
        <v>45572</v>
      </c>
      <c r="G44" s="23" t="str">
        <f>TEXT(WEEKDAY(Data_Analyst_Intern_Nikhil_Kumar_February2026[[#This Row],[Order Date]],2), "dddd")</f>
        <v>Wednesday</v>
      </c>
      <c r="H44" t="s">
        <v>264</v>
      </c>
      <c r="I44" t="s">
        <v>25</v>
      </c>
      <c r="J44" t="s">
        <v>265</v>
      </c>
      <c r="K44" t="s">
        <v>62</v>
      </c>
      <c r="L44" t="s">
        <v>266</v>
      </c>
      <c r="M44" s="2">
        <v>2499</v>
      </c>
      <c r="N44">
        <v>1</v>
      </c>
      <c r="O44" s="2">
        <v>2499</v>
      </c>
      <c r="P44" t="s">
        <v>29</v>
      </c>
      <c r="Q44">
        <v>0</v>
      </c>
      <c r="R44" s="4">
        <f>IFERROR(Data_Analyst_Intern_Nikhil_Kumar_February2026[[#This Row],[Total]]/Data_Analyst_Intern_Nikhil_Kumar_February2026[[#This Row],[Discount(%)]],0)</f>
        <v>0</v>
      </c>
      <c r="S44" s="2">
        <f>Data_Analyst_Intern_Nikhil_Kumar_February2026[[#This Row],[Total]]-Data_Analyst_Intern_Nikhil_Kumar_February2026[[#This Row],[Discount Amount]]</f>
        <v>2499</v>
      </c>
      <c r="T44" t="s">
        <v>112</v>
      </c>
      <c r="U44" t="s">
        <v>31</v>
      </c>
      <c r="V44" t="s">
        <v>119</v>
      </c>
      <c r="W44" t="s">
        <v>120</v>
      </c>
      <c r="X44" t="s">
        <v>46</v>
      </c>
      <c r="Y44" s="1">
        <v>45585</v>
      </c>
      <c r="Z44" s="3">
        <f>Data_Analyst_Intern_Nikhil_Kumar_February2026[[#This Row],[Del Date]]-Data_Analyst_Intern_Nikhil_Kumar_February2026[[#This Row],[Order Date]]</f>
        <v>10</v>
      </c>
      <c r="AA44" s="3" t="str" cm="1">
        <f t="array" ref="AA44">_xlfn.IFS(Data_Analyst_Intern_Nikhil_Kumar_February2026[[#This Row],[Del Days]]&lt;=7,"Fast",Data_Analyst_Intern_Nikhil_Kumar_February2026[[#This Row],[Del Days]]&lt;=15,"Standard",Data_Analyst_Intern_Nikhil_Kumar_February2026[[#This Row],[Del Days]]&gt;15,"Slow")</f>
        <v>Standard</v>
      </c>
      <c r="AB44" t="s">
        <v>34</v>
      </c>
      <c r="AC44">
        <f>IF(Data_Analyst_Intern_Nikhil_Kumar_February2026[[#This Row],[Status]]="RTO", 1,0)</f>
        <v>0</v>
      </c>
      <c r="AD44">
        <f>IF(Data_Analyst_Intern_Nikhil_Kumar_February2026[[#This Row],[Status]]="Delivered",1,0)</f>
        <v>1</v>
      </c>
      <c r="AE44" t="s">
        <v>35</v>
      </c>
      <c r="AF44">
        <f>IF(AND(Data_Analyst_Intern_Nikhil_Kumar_February2026[[#This Row],[Status]]="Delivered",Data_Analyst_Intern_Nikhil_Kumar_February2026[[#This Row],[Return?]]="Yes"),1,0)</f>
        <v>0</v>
      </c>
      <c r="AG44" t="s">
        <v>29</v>
      </c>
      <c r="AI44" t="s">
        <v>36</v>
      </c>
    </row>
    <row r="45" spans="1:35" x14ac:dyDescent="0.3">
      <c r="A45" t="s">
        <v>267</v>
      </c>
      <c r="B45" s="1">
        <v>45576</v>
      </c>
      <c r="C45" s="1" t="str">
        <f>TEXT(Data_Analyst_Intern_Nikhil_Kumar_February2026[[#This Row],[Order Date]], "mmmm")</f>
        <v>October</v>
      </c>
      <c r="D45" s="23">
        <f>WEEKNUM(Data_Analyst_Intern_Nikhil_Kumar_February2026[[#This Row],[Order Date]],2)</f>
        <v>41</v>
      </c>
      <c r="E45" s="23" t="str">
        <f>TEXT(Data_Analyst_Intern_Nikhil_Kumar_February2026[[#This Row],[Order Date]],"dddd")</f>
        <v>Friday</v>
      </c>
      <c r="F45" s="1">
        <v>45572</v>
      </c>
      <c r="G45" s="23" t="str">
        <f>TEXT(WEEKDAY(Data_Analyst_Intern_Nikhil_Kumar_February2026[[#This Row],[Order Date]],2), "dddd")</f>
        <v>Thursday</v>
      </c>
      <c r="H45" t="s">
        <v>268</v>
      </c>
      <c r="I45" t="s">
        <v>25</v>
      </c>
      <c r="J45" t="s">
        <v>269</v>
      </c>
      <c r="K45" t="s">
        <v>72</v>
      </c>
      <c r="L45" t="s">
        <v>270</v>
      </c>
      <c r="M45" s="2">
        <v>1899</v>
      </c>
      <c r="N45">
        <v>1</v>
      </c>
      <c r="O45" s="2">
        <v>1899</v>
      </c>
      <c r="P45" t="s">
        <v>29</v>
      </c>
      <c r="Q45">
        <v>0</v>
      </c>
      <c r="R45" s="4">
        <f>IFERROR(Data_Analyst_Intern_Nikhil_Kumar_February2026[[#This Row],[Total]]/Data_Analyst_Intern_Nikhil_Kumar_February2026[[#This Row],[Discount(%)]],0)</f>
        <v>0</v>
      </c>
      <c r="S45" s="2">
        <f>Data_Analyst_Intern_Nikhil_Kumar_February2026[[#This Row],[Total]]-Data_Analyst_Intern_Nikhil_Kumar_February2026[[#This Row],[Discount Amount]]</f>
        <v>1899</v>
      </c>
      <c r="T45" t="s">
        <v>65</v>
      </c>
      <c r="U45" t="s">
        <v>66</v>
      </c>
      <c r="V45" t="s">
        <v>138</v>
      </c>
      <c r="W45" t="s">
        <v>114</v>
      </c>
      <c r="X45" t="s">
        <v>46</v>
      </c>
      <c r="Y45" s="1">
        <v>45586</v>
      </c>
      <c r="Z45" s="3">
        <f>Data_Analyst_Intern_Nikhil_Kumar_February2026[[#This Row],[Del Date]]-Data_Analyst_Intern_Nikhil_Kumar_February2026[[#This Row],[Order Date]]</f>
        <v>10</v>
      </c>
      <c r="AA45" s="3" t="str" cm="1">
        <f t="array" ref="AA45">_xlfn.IFS(Data_Analyst_Intern_Nikhil_Kumar_February2026[[#This Row],[Del Days]]&lt;=7,"Fast",Data_Analyst_Intern_Nikhil_Kumar_February2026[[#This Row],[Del Days]]&lt;=15,"Standard",Data_Analyst_Intern_Nikhil_Kumar_February2026[[#This Row],[Del Days]]&gt;15,"Slow")</f>
        <v>Standard</v>
      </c>
      <c r="AB45" t="s">
        <v>34</v>
      </c>
      <c r="AC45">
        <f>IF(Data_Analyst_Intern_Nikhil_Kumar_February2026[[#This Row],[Status]]="RTO", 1,0)</f>
        <v>0</v>
      </c>
      <c r="AD45">
        <f>IF(Data_Analyst_Intern_Nikhil_Kumar_February2026[[#This Row],[Status]]="Delivered",1,0)</f>
        <v>1</v>
      </c>
      <c r="AE45" t="s">
        <v>47</v>
      </c>
      <c r="AF45">
        <f>IF(AND(Data_Analyst_Intern_Nikhil_Kumar_February2026[[#This Row],[Status]]="Delivered",Data_Analyst_Intern_Nikhil_Kumar_February2026[[#This Row],[Return?]]="Yes"),1,0)</f>
        <v>1</v>
      </c>
      <c r="AG45" t="s">
        <v>139</v>
      </c>
      <c r="AH45" s="1">
        <v>45608</v>
      </c>
      <c r="AI45" t="s">
        <v>49</v>
      </c>
    </row>
    <row r="46" spans="1:35" x14ac:dyDescent="0.3">
      <c r="A46" t="s">
        <v>271</v>
      </c>
      <c r="B46" s="1">
        <v>45576</v>
      </c>
      <c r="C46" s="1" t="str">
        <f>TEXT(Data_Analyst_Intern_Nikhil_Kumar_February2026[[#This Row],[Order Date]], "mmmm")</f>
        <v>October</v>
      </c>
      <c r="D46" s="23">
        <f>WEEKNUM(Data_Analyst_Intern_Nikhil_Kumar_February2026[[#This Row],[Order Date]],2)</f>
        <v>41</v>
      </c>
      <c r="E46" s="23" t="str">
        <f>TEXT(Data_Analyst_Intern_Nikhil_Kumar_February2026[[#This Row],[Order Date]],"dddd")</f>
        <v>Friday</v>
      </c>
      <c r="F46" s="1">
        <v>45572</v>
      </c>
      <c r="G46" s="23" t="str">
        <f>TEXT(WEEKDAY(Data_Analyst_Intern_Nikhil_Kumar_February2026[[#This Row],[Order Date]],2), "dddd")</f>
        <v>Thursday</v>
      </c>
      <c r="H46" t="s">
        <v>272</v>
      </c>
      <c r="I46" t="s">
        <v>25</v>
      </c>
      <c r="J46" t="s">
        <v>273</v>
      </c>
      <c r="K46" t="s">
        <v>54</v>
      </c>
      <c r="L46" t="s">
        <v>274</v>
      </c>
      <c r="M46" s="2">
        <v>1999</v>
      </c>
      <c r="N46">
        <v>1</v>
      </c>
      <c r="O46" s="2">
        <v>1999</v>
      </c>
      <c r="P46" t="s">
        <v>64</v>
      </c>
      <c r="Q46">
        <v>15</v>
      </c>
      <c r="R46" s="4">
        <f>IFERROR(Data_Analyst_Intern_Nikhil_Kumar_February2026[[#This Row],[Total]]/Data_Analyst_Intern_Nikhil_Kumar_February2026[[#This Row],[Discount(%)]],0)</f>
        <v>133.26666666666668</v>
      </c>
      <c r="S46" s="2">
        <f>Data_Analyst_Intern_Nikhil_Kumar_February2026[[#This Row],[Total]]-Data_Analyst_Intern_Nikhil_Kumar_February2026[[#This Row],[Discount Amount]]</f>
        <v>1865.7333333333333</v>
      </c>
      <c r="T46" t="s">
        <v>30</v>
      </c>
      <c r="U46" t="s">
        <v>45</v>
      </c>
      <c r="V46" t="s">
        <v>144</v>
      </c>
      <c r="W46" t="s">
        <v>145</v>
      </c>
      <c r="X46" t="s">
        <v>46</v>
      </c>
      <c r="Y46" s="1">
        <v>45584</v>
      </c>
      <c r="Z46" s="3">
        <f>Data_Analyst_Intern_Nikhil_Kumar_February2026[[#This Row],[Del Date]]-Data_Analyst_Intern_Nikhil_Kumar_February2026[[#This Row],[Order Date]]</f>
        <v>8</v>
      </c>
      <c r="AA46" s="3" t="str" cm="1">
        <f t="array" ref="AA46">_xlfn.IFS(Data_Analyst_Intern_Nikhil_Kumar_February2026[[#This Row],[Del Days]]&lt;=7,"Fast",Data_Analyst_Intern_Nikhil_Kumar_February2026[[#This Row],[Del Days]]&lt;=15,"Standard",Data_Analyst_Intern_Nikhil_Kumar_February2026[[#This Row],[Del Days]]&gt;15,"Slow")</f>
        <v>Standard</v>
      </c>
      <c r="AB46" t="s">
        <v>34</v>
      </c>
      <c r="AC46">
        <f>IF(Data_Analyst_Intern_Nikhil_Kumar_February2026[[#This Row],[Status]]="RTO", 1,0)</f>
        <v>0</v>
      </c>
      <c r="AD46">
        <f>IF(Data_Analyst_Intern_Nikhil_Kumar_February2026[[#This Row],[Status]]="Delivered",1,0)</f>
        <v>1</v>
      </c>
      <c r="AE46" t="s">
        <v>35</v>
      </c>
      <c r="AF46">
        <f>IF(AND(Data_Analyst_Intern_Nikhil_Kumar_February2026[[#This Row],[Status]]="Delivered",Data_Analyst_Intern_Nikhil_Kumar_February2026[[#This Row],[Return?]]="Yes"),1,0)</f>
        <v>0</v>
      </c>
      <c r="AG46" t="s">
        <v>29</v>
      </c>
      <c r="AI46" t="s">
        <v>36</v>
      </c>
    </row>
    <row r="47" spans="1:35" x14ac:dyDescent="0.3">
      <c r="A47" t="s">
        <v>275</v>
      </c>
      <c r="B47" s="1">
        <v>45576</v>
      </c>
      <c r="C47" s="1" t="str">
        <f>TEXT(Data_Analyst_Intern_Nikhil_Kumar_February2026[[#This Row],[Order Date]], "mmmm")</f>
        <v>October</v>
      </c>
      <c r="D47" s="23">
        <f>WEEKNUM(Data_Analyst_Intern_Nikhil_Kumar_February2026[[#This Row],[Order Date]],2)</f>
        <v>41</v>
      </c>
      <c r="E47" s="23" t="str">
        <f>TEXT(Data_Analyst_Intern_Nikhil_Kumar_February2026[[#This Row],[Order Date]],"dddd")</f>
        <v>Friday</v>
      </c>
      <c r="F47" s="1">
        <v>45572</v>
      </c>
      <c r="G47" s="23" t="str">
        <f>TEXT(WEEKDAY(Data_Analyst_Intern_Nikhil_Kumar_February2026[[#This Row],[Order Date]],2), "dddd")</f>
        <v>Thursday</v>
      </c>
      <c r="H47" t="s">
        <v>276</v>
      </c>
      <c r="I47" t="s">
        <v>39</v>
      </c>
      <c r="J47" t="s">
        <v>277</v>
      </c>
      <c r="K47" t="s">
        <v>41</v>
      </c>
      <c r="L47" t="s">
        <v>278</v>
      </c>
      <c r="M47" s="2">
        <v>2599</v>
      </c>
      <c r="N47">
        <v>1</v>
      </c>
      <c r="O47" s="2">
        <v>2599</v>
      </c>
      <c r="P47" t="s">
        <v>29</v>
      </c>
      <c r="Q47">
        <v>0</v>
      </c>
      <c r="R47" s="4">
        <f>IFERROR(Data_Analyst_Intern_Nikhil_Kumar_February2026[[#This Row],[Total]]/Data_Analyst_Intern_Nikhil_Kumar_February2026[[#This Row],[Discount(%)]],0)</f>
        <v>0</v>
      </c>
      <c r="S47" s="2">
        <f>Data_Analyst_Intern_Nikhil_Kumar_February2026[[#This Row],[Total]]-Data_Analyst_Intern_Nikhil_Kumar_February2026[[#This Row],[Discount Amount]]</f>
        <v>2599</v>
      </c>
      <c r="T47" t="s">
        <v>44</v>
      </c>
      <c r="U47" t="s">
        <v>31</v>
      </c>
      <c r="V47" t="s">
        <v>150</v>
      </c>
      <c r="W47" t="s">
        <v>151</v>
      </c>
      <c r="X47" t="s">
        <v>32</v>
      </c>
      <c r="Y47" s="1">
        <v>45585</v>
      </c>
      <c r="Z47" s="3">
        <f>Data_Analyst_Intern_Nikhil_Kumar_February2026[[#This Row],[Del Date]]-Data_Analyst_Intern_Nikhil_Kumar_February2026[[#This Row],[Order Date]]</f>
        <v>9</v>
      </c>
      <c r="AA47" s="3" t="str" cm="1">
        <f t="array" ref="AA47">_xlfn.IFS(Data_Analyst_Intern_Nikhil_Kumar_February2026[[#This Row],[Del Days]]&lt;=7,"Fast",Data_Analyst_Intern_Nikhil_Kumar_February2026[[#This Row],[Del Days]]&lt;=15,"Standard",Data_Analyst_Intern_Nikhil_Kumar_February2026[[#This Row],[Del Days]]&gt;15,"Slow")</f>
        <v>Standard</v>
      </c>
      <c r="AB47" t="s">
        <v>34</v>
      </c>
      <c r="AC47">
        <f>IF(Data_Analyst_Intern_Nikhil_Kumar_February2026[[#This Row],[Status]]="RTO", 1,0)</f>
        <v>0</v>
      </c>
      <c r="AD47">
        <f>IF(Data_Analyst_Intern_Nikhil_Kumar_February2026[[#This Row],[Status]]="Delivered",1,0)</f>
        <v>1</v>
      </c>
      <c r="AE47" t="s">
        <v>35</v>
      </c>
      <c r="AF47">
        <f>IF(AND(Data_Analyst_Intern_Nikhil_Kumar_February2026[[#This Row],[Status]]="Delivered",Data_Analyst_Intern_Nikhil_Kumar_February2026[[#This Row],[Return?]]="Yes"),1,0)</f>
        <v>0</v>
      </c>
      <c r="AG47" t="s">
        <v>29</v>
      </c>
      <c r="AI47" t="s">
        <v>36</v>
      </c>
    </row>
    <row r="48" spans="1:35" x14ac:dyDescent="0.3">
      <c r="A48" t="s">
        <v>279</v>
      </c>
      <c r="B48" s="1">
        <v>45576</v>
      </c>
      <c r="C48" s="1" t="str">
        <f>TEXT(Data_Analyst_Intern_Nikhil_Kumar_February2026[[#This Row],[Order Date]], "mmmm")</f>
        <v>October</v>
      </c>
      <c r="D48" s="23">
        <f>WEEKNUM(Data_Analyst_Intern_Nikhil_Kumar_February2026[[#This Row],[Order Date]],2)</f>
        <v>41</v>
      </c>
      <c r="E48" s="23" t="str">
        <f>TEXT(Data_Analyst_Intern_Nikhil_Kumar_February2026[[#This Row],[Order Date]],"dddd")</f>
        <v>Friday</v>
      </c>
      <c r="F48" s="1">
        <v>45572</v>
      </c>
      <c r="G48" s="23" t="str">
        <f>TEXT(WEEKDAY(Data_Analyst_Intern_Nikhil_Kumar_February2026[[#This Row],[Order Date]],2), "dddd")</f>
        <v>Thursday</v>
      </c>
      <c r="H48" t="s">
        <v>280</v>
      </c>
      <c r="I48" t="s">
        <v>25</v>
      </c>
      <c r="J48" t="s">
        <v>281</v>
      </c>
      <c r="K48" t="s">
        <v>27</v>
      </c>
      <c r="L48" t="s">
        <v>282</v>
      </c>
      <c r="M48" s="2">
        <v>1299</v>
      </c>
      <c r="N48">
        <v>1</v>
      </c>
      <c r="O48" s="2">
        <v>1299</v>
      </c>
      <c r="P48" t="s">
        <v>29</v>
      </c>
      <c r="Q48">
        <v>0</v>
      </c>
      <c r="R48" s="4">
        <f>IFERROR(Data_Analyst_Intern_Nikhil_Kumar_February2026[[#This Row],[Total]]/Data_Analyst_Intern_Nikhil_Kumar_February2026[[#This Row],[Discount(%)]],0)</f>
        <v>0</v>
      </c>
      <c r="S48" s="2">
        <f>Data_Analyst_Intern_Nikhil_Kumar_February2026[[#This Row],[Total]]-Data_Analyst_Intern_Nikhil_Kumar_February2026[[#This Row],[Discount Amount]]</f>
        <v>1299</v>
      </c>
      <c r="T48" t="s">
        <v>56</v>
      </c>
      <c r="U48" t="s">
        <v>66</v>
      </c>
      <c r="V48" t="s">
        <v>156</v>
      </c>
      <c r="W48" t="s">
        <v>98</v>
      </c>
      <c r="X48" t="s">
        <v>32</v>
      </c>
      <c r="Y48" s="1"/>
      <c r="Z48" s="1">
        <f>Data_Analyst_Intern_Nikhil_Kumar_February2026[[#This Row],[Del Date]]-Data_Analyst_Intern_Nikhil_Kumar_February2026[[#This Row],[Order Date]]</f>
        <v>-45576</v>
      </c>
      <c r="AA48" s="1" t="str" cm="1">
        <f t="array" ref="AA48">_xlfn.IFS(Data_Analyst_Intern_Nikhil_Kumar_February2026[[#This Row],[Del Days]]&lt;=7,"Fast",Data_Analyst_Intern_Nikhil_Kumar_February2026[[#This Row],[Del Days]]&lt;=15,"Standard",Data_Analyst_Intern_Nikhil_Kumar_February2026[[#This Row],[Del Days]]&gt;15,"Slow")</f>
        <v>Fast</v>
      </c>
      <c r="AB48" t="s">
        <v>121</v>
      </c>
      <c r="AC48">
        <f>IF(Data_Analyst_Intern_Nikhil_Kumar_February2026[[#This Row],[Status]]="RTO", 1,0)</f>
        <v>1</v>
      </c>
      <c r="AD48">
        <f>IF(Data_Analyst_Intern_Nikhil_Kumar_February2026[[#This Row],[Status]]="Delivered",1,0)</f>
        <v>0</v>
      </c>
      <c r="AE48" t="s">
        <v>35</v>
      </c>
      <c r="AF48">
        <f>IF(AND(Data_Analyst_Intern_Nikhil_Kumar_February2026[[#This Row],[Status]]="Delivered",Data_Analyst_Intern_Nikhil_Kumar_February2026[[#This Row],[Return?]]="Yes"),1,0)</f>
        <v>0</v>
      </c>
      <c r="AG48" t="s">
        <v>29</v>
      </c>
      <c r="AI48" t="s">
        <v>36</v>
      </c>
    </row>
    <row r="49" spans="1:35" x14ac:dyDescent="0.3">
      <c r="A49" t="s">
        <v>283</v>
      </c>
      <c r="B49" s="1">
        <v>45577</v>
      </c>
      <c r="C49" s="1" t="str">
        <f>TEXT(Data_Analyst_Intern_Nikhil_Kumar_February2026[[#This Row],[Order Date]], "mmmm")</f>
        <v>October</v>
      </c>
      <c r="D49" s="23">
        <f>WEEKNUM(Data_Analyst_Intern_Nikhil_Kumar_February2026[[#This Row],[Order Date]],2)</f>
        <v>41</v>
      </c>
      <c r="E49" s="23" t="str">
        <f>TEXT(Data_Analyst_Intern_Nikhil_Kumar_February2026[[#This Row],[Order Date]],"dddd")</f>
        <v>Saturday</v>
      </c>
      <c r="F49" s="1">
        <v>45572</v>
      </c>
      <c r="G49" s="23" t="str">
        <f>TEXT(WEEKDAY(Data_Analyst_Intern_Nikhil_Kumar_February2026[[#This Row],[Order Date]],2), "dddd")</f>
        <v>Friday</v>
      </c>
      <c r="H49" t="s">
        <v>284</v>
      </c>
      <c r="I49" t="s">
        <v>25</v>
      </c>
      <c r="J49" t="s">
        <v>285</v>
      </c>
      <c r="K49" t="s">
        <v>62</v>
      </c>
      <c r="L49" t="s">
        <v>286</v>
      </c>
      <c r="M49" s="2">
        <v>5999</v>
      </c>
      <c r="N49">
        <v>1</v>
      </c>
      <c r="O49" s="2">
        <v>5999</v>
      </c>
      <c r="P49" t="s">
        <v>43</v>
      </c>
      <c r="Q49">
        <v>20</v>
      </c>
      <c r="R49" s="4">
        <f>IFERROR(Data_Analyst_Intern_Nikhil_Kumar_February2026[[#This Row],[Total]]/Data_Analyst_Intern_Nikhil_Kumar_February2026[[#This Row],[Discount(%)]],0)</f>
        <v>299.95</v>
      </c>
      <c r="S49" s="2">
        <f>Data_Analyst_Intern_Nikhil_Kumar_February2026[[#This Row],[Total]]-Data_Analyst_Intern_Nikhil_Kumar_February2026[[#This Row],[Discount Amount]]</f>
        <v>5699.05</v>
      </c>
      <c r="T49" t="s">
        <v>44</v>
      </c>
      <c r="U49" t="s">
        <v>45</v>
      </c>
      <c r="V49" t="s">
        <v>161</v>
      </c>
      <c r="W49" t="s">
        <v>162</v>
      </c>
      <c r="X49" t="s">
        <v>46</v>
      </c>
      <c r="Y49" s="1">
        <v>45587</v>
      </c>
      <c r="Z49" s="3">
        <f>Data_Analyst_Intern_Nikhil_Kumar_February2026[[#This Row],[Del Date]]-Data_Analyst_Intern_Nikhil_Kumar_February2026[[#This Row],[Order Date]]</f>
        <v>10</v>
      </c>
      <c r="AA49" s="3" t="str" cm="1">
        <f t="array" ref="AA49">_xlfn.IFS(Data_Analyst_Intern_Nikhil_Kumar_February2026[[#This Row],[Del Days]]&lt;=7,"Fast",Data_Analyst_Intern_Nikhil_Kumar_February2026[[#This Row],[Del Days]]&lt;=15,"Standard",Data_Analyst_Intern_Nikhil_Kumar_February2026[[#This Row],[Del Days]]&gt;15,"Slow")</f>
        <v>Standard</v>
      </c>
      <c r="AB49" t="s">
        <v>34</v>
      </c>
      <c r="AC49">
        <f>IF(Data_Analyst_Intern_Nikhil_Kumar_February2026[[#This Row],[Status]]="RTO", 1,0)</f>
        <v>0</v>
      </c>
      <c r="AD49">
        <f>IF(Data_Analyst_Intern_Nikhil_Kumar_February2026[[#This Row],[Status]]="Delivered",1,0)</f>
        <v>1</v>
      </c>
      <c r="AE49" t="s">
        <v>47</v>
      </c>
      <c r="AF49">
        <f>IF(AND(Data_Analyst_Intern_Nikhil_Kumar_February2026[[#This Row],[Status]]="Delivered",Data_Analyst_Intern_Nikhil_Kumar_February2026[[#This Row],[Return?]]="Yes"),1,0)</f>
        <v>1</v>
      </c>
      <c r="AG49" t="s">
        <v>48</v>
      </c>
      <c r="AH49" s="1">
        <v>45611</v>
      </c>
      <c r="AI49" t="s">
        <v>49</v>
      </c>
    </row>
    <row r="50" spans="1:35" x14ac:dyDescent="0.3">
      <c r="A50" t="s">
        <v>287</v>
      </c>
      <c r="B50" s="1">
        <v>45577</v>
      </c>
      <c r="C50" s="1" t="str">
        <f>TEXT(Data_Analyst_Intern_Nikhil_Kumar_February2026[[#This Row],[Order Date]], "mmmm")</f>
        <v>October</v>
      </c>
      <c r="D50" s="23">
        <f>WEEKNUM(Data_Analyst_Intern_Nikhil_Kumar_February2026[[#This Row],[Order Date]],2)</f>
        <v>41</v>
      </c>
      <c r="E50" s="23" t="str">
        <f>TEXT(Data_Analyst_Intern_Nikhil_Kumar_February2026[[#This Row],[Order Date]],"dddd")</f>
        <v>Saturday</v>
      </c>
      <c r="F50" s="1">
        <v>45572</v>
      </c>
      <c r="G50" s="23" t="str">
        <f>TEXT(WEEKDAY(Data_Analyst_Intern_Nikhil_Kumar_February2026[[#This Row],[Order Date]],2), "dddd")</f>
        <v>Friday</v>
      </c>
      <c r="H50" t="s">
        <v>288</v>
      </c>
      <c r="I50" t="s">
        <v>25</v>
      </c>
      <c r="J50" t="s">
        <v>289</v>
      </c>
      <c r="K50" t="s">
        <v>72</v>
      </c>
      <c r="L50" t="s">
        <v>290</v>
      </c>
      <c r="M50" s="2">
        <v>799</v>
      </c>
      <c r="N50">
        <v>2</v>
      </c>
      <c r="O50" s="2">
        <v>1598</v>
      </c>
      <c r="P50" t="s">
        <v>29</v>
      </c>
      <c r="Q50">
        <v>0</v>
      </c>
      <c r="R50" s="4">
        <f>IFERROR(Data_Analyst_Intern_Nikhil_Kumar_February2026[[#This Row],[Total]]/Data_Analyst_Intern_Nikhil_Kumar_February2026[[#This Row],[Discount(%)]],0)</f>
        <v>0</v>
      </c>
      <c r="S50" s="2">
        <f>Data_Analyst_Intern_Nikhil_Kumar_February2026[[#This Row],[Total]]-Data_Analyst_Intern_Nikhil_Kumar_February2026[[#This Row],[Discount Amount]]</f>
        <v>1598</v>
      </c>
      <c r="T50" t="s">
        <v>30</v>
      </c>
      <c r="U50" t="s">
        <v>31</v>
      </c>
      <c r="V50" t="s">
        <v>167</v>
      </c>
      <c r="W50" t="s">
        <v>151</v>
      </c>
      <c r="X50" t="s">
        <v>32</v>
      </c>
      <c r="Y50" s="1">
        <v>45585</v>
      </c>
      <c r="Z50" s="3">
        <f>Data_Analyst_Intern_Nikhil_Kumar_February2026[[#This Row],[Del Date]]-Data_Analyst_Intern_Nikhil_Kumar_February2026[[#This Row],[Order Date]]</f>
        <v>8</v>
      </c>
      <c r="AA50" s="3" t="str" cm="1">
        <f t="array" ref="AA50">_xlfn.IFS(Data_Analyst_Intern_Nikhil_Kumar_February2026[[#This Row],[Del Days]]&lt;=7,"Fast",Data_Analyst_Intern_Nikhil_Kumar_February2026[[#This Row],[Del Days]]&lt;=15,"Standard",Data_Analyst_Intern_Nikhil_Kumar_February2026[[#This Row],[Del Days]]&gt;15,"Slow")</f>
        <v>Standard</v>
      </c>
      <c r="AB50" t="s">
        <v>34</v>
      </c>
      <c r="AC50">
        <f>IF(Data_Analyst_Intern_Nikhil_Kumar_February2026[[#This Row],[Status]]="RTO", 1,0)</f>
        <v>0</v>
      </c>
      <c r="AD50">
        <f>IF(Data_Analyst_Intern_Nikhil_Kumar_February2026[[#This Row],[Status]]="Delivered",1,0)</f>
        <v>1</v>
      </c>
      <c r="AE50" t="s">
        <v>35</v>
      </c>
      <c r="AF50">
        <f>IF(AND(Data_Analyst_Intern_Nikhil_Kumar_February2026[[#This Row],[Status]]="Delivered",Data_Analyst_Intern_Nikhil_Kumar_February2026[[#This Row],[Return?]]="Yes"),1,0)</f>
        <v>0</v>
      </c>
      <c r="AG50" t="s">
        <v>29</v>
      </c>
      <c r="AI50" t="s">
        <v>36</v>
      </c>
    </row>
    <row r="51" spans="1:35" x14ac:dyDescent="0.3">
      <c r="A51" t="s">
        <v>291</v>
      </c>
      <c r="B51" s="1">
        <v>45577</v>
      </c>
      <c r="C51" s="1" t="str">
        <f>TEXT(Data_Analyst_Intern_Nikhil_Kumar_February2026[[#This Row],[Order Date]], "mmmm")</f>
        <v>October</v>
      </c>
      <c r="D51" s="23">
        <f>WEEKNUM(Data_Analyst_Intern_Nikhil_Kumar_February2026[[#This Row],[Order Date]],2)</f>
        <v>41</v>
      </c>
      <c r="E51" s="23" t="str">
        <f>TEXT(Data_Analyst_Intern_Nikhil_Kumar_February2026[[#This Row],[Order Date]],"dddd")</f>
        <v>Saturday</v>
      </c>
      <c r="F51" s="1">
        <v>45572</v>
      </c>
      <c r="G51" s="23" t="str">
        <f>TEXT(WEEKDAY(Data_Analyst_Intern_Nikhil_Kumar_February2026[[#This Row],[Order Date]],2), "dddd")</f>
        <v>Friday</v>
      </c>
      <c r="H51" t="s">
        <v>292</v>
      </c>
      <c r="I51" t="s">
        <v>39</v>
      </c>
      <c r="J51" t="s">
        <v>293</v>
      </c>
      <c r="K51" t="s">
        <v>54</v>
      </c>
      <c r="L51" t="s">
        <v>294</v>
      </c>
      <c r="M51" s="2">
        <v>999</v>
      </c>
      <c r="N51">
        <v>2</v>
      </c>
      <c r="O51" s="2">
        <v>1998</v>
      </c>
      <c r="P51" t="s">
        <v>29</v>
      </c>
      <c r="Q51">
        <v>0</v>
      </c>
      <c r="R51" s="4">
        <f>IFERROR(Data_Analyst_Intern_Nikhil_Kumar_February2026[[#This Row],[Total]]/Data_Analyst_Intern_Nikhil_Kumar_February2026[[#This Row],[Discount(%)]],0)</f>
        <v>0</v>
      </c>
      <c r="S51" s="2">
        <f>Data_Analyst_Intern_Nikhil_Kumar_February2026[[#This Row],[Total]]-Data_Analyst_Intern_Nikhil_Kumar_February2026[[#This Row],[Discount Amount]]</f>
        <v>1998</v>
      </c>
      <c r="T51" t="s">
        <v>112</v>
      </c>
      <c r="U51" t="s">
        <v>45</v>
      </c>
      <c r="V51" t="s">
        <v>172</v>
      </c>
      <c r="W51" t="s">
        <v>33</v>
      </c>
      <c r="X51" t="s">
        <v>32</v>
      </c>
      <c r="Y51" s="1">
        <v>45584</v>
      </c>
      <c r="Z51" s="3">
        <f>Data_Analyst_Intern_Nikhil_Kumar_February2026[[#This Row],[Del Date]]-Data_Analyst_Intern_Nikhil_Kumar_February2026[[#This Row],[Order Date]]</f>
        <v>7</v>
      </c>
      <c r="AA51" s="3" t="str" cm="1">
        <f t="array" ref="AA51">_xlfn.IFS(Data_Analyst_Intern_Nikhil_Kumar_February2026[[#This Row],[Del Days]]&lt;=7,"Fast",Data_Analyst_Intern_Nikhil_Kumar_February2026[[#This Row],[Del Days]]&lt;=15,"Standard",Data_Analyst_Intern_Nikhil_Kumar_February2026[[#This Row],[Del Days]]&gt;15,"Slow")</f>
        <v>Fast</v>
      </c>
      <c r="AB51" t="s">
        <v>34</v>
      </c>
      <c r="AC51">
        <f>IF(Data_Analyst_Intern_Nikhil_Kumar_February2026[[#This Row],[Status]]="RTO", 1,0)</f>
        <v>0</v>
      </c>
      <c r="AD51">
        <f>IF(Data_Analyst_Intern_Nikhil_Kumar_February2026[[#This Row],[Status]]="Delivered",1,0)</f>
        <v>1</v>
      </c>
      <c r="AE51" t="s">
        <v>35</v>
      </c>
      <c r="AF51">
        <f>IF(AND(Data_Analyst_Intern_Nikhil_Kumar_February2026[[#This Row],[Status]]="Delivered",Data_Analyst_Intern_Nikhil_Kumar_February2026[[#This Row],[Return?]]="Yes"),1,0)</f>
        <v>0</v>
      </c>
      <c r="AG51" t="s">
        <v>29</v>
      </c>
      <c r="AI51" t="s">
        <v>36</v>
      </c>
    </row>
    <row r="52" spans="1:35" x14ac:dyDescent="0.3">
      <c r="A52" t="s">
        <v>295</v>
      </c>
      <c r="B52" s="1">
        <v>45577</v>
      </c>
      <c r="C52" s="1" t="str">
        <f>TEXT(Data_Analyst_Intern_Nikhil_Kumar_February2026[[#This Row],[Order Date]], "mmmm")</f>
        <v>October</v>
      </c>
      <c r="D52" s="23">
        <f>WEEKNUM(Data_Analyst_Intern_Nikhil_Kumar_February2026[[#This Row],[Order Date]],2)</f>
        <v>41</v>
      </c>
      <c r="E52" s="23" t="str">
        <f>TEXT(Data_Analyst_Intern_Nikhil_Kumar_February2026[[#This Row],[Order Date]],"dddd")</f>
        <v>Saturday</v>
      </c>
      <c r="F52" s="1">
        <v>45572</v>
      </c>
      <c r="G52" s="23" t="str">
        <f>TEXT(WEEKDAY(Data_Analyst_Intern_Nikhil_Kumar_February2026[[#This Row],[Order Date]],2), "dddd")</f>
        <v>Friday</v>
      </c>
      <c r="H52" t="s">
        <v>296</v>
      </c>
      <c r="I52" t="s">
        <v>25</v>
      </c>
      <c r="J52" t="s">
        <v>297</v>
      </c>
      <c r="K52" t="s">
        <v>41</v>
      </c>
      <c r="L52" t="s">
        <v>298</v>
      </c>
      <c r="M52" s="2">
        <v>1899</v>
      </c>
      <c r="N52">
        <v>1</v>
      </c>
      <c r="O52" s="2">
        <v>1899</v>
      </c>
      <c r="P52" t="s">
        <v>29</v>
      </c>
      <c r="Q52">
        <v>0</v>
      </c>
      <c r="R52" s="4">
        <f>IFERROR(Data_Analyst_Intern_Nikhil_Kumar_February2026[[#This Row],[Total]]/Data_Analyst_Intern_Nikhil_Kumar_February2026[[#This Row],[Discount(%)]],0)</f>
        <v>0</v>
      </c>
      <c r="S52" s="2">
        <f>Data_Analyst_Intern_Nikhil_Kumar_February2026[[#This Row],[Total]]-Data_Analyst_Intern_Nikhil_Kumar_February2026[[#This Row],[Discount Amount]]</f>
        <v>1899</v>
      </c>
      <c r="T52" t="s">
        <v>65</v>
      </c>
      <c r="U52" t="s">
        <v>66</v>
      </c>
      <c r="V52" t="s">
        <v>177</v>
      </c>
      <c r="W52" t="s">
        <v>68</v>
      </c>
      <c r="X52" t="s">
        <v>57</v>
      </c>
      <c r="Y52" s="1">
        <v>45587</v>
      </c>
      <c r="Z52" s="3">
        <f>Data_Analyst_Intern_Nikhil_Kumar_February2026[[#This Row],[Del Date]]-Data_Analyst_Intern_Nikhil_Kumar_February2026[[#This Row],[Order Date]]</f>
        <v>10</v>
      </c>
      <c r="AA52" s="3" t="str" cm="1">
        <f t="array" ref="AA52">_xlfn.IFS(Data_Analyst_Intern_Nikhil_Kumar_February2026[[#This Row],[Del Days]]&lt;=7,"Fast",Data_Analyst_Intern_Nikhil_Kumar_February2026[[#This Row],[Del Days]]&lt;=15,"Standard",Data_Analyst_Intern_Nikhil_Kumar_February2026[[#This Row],[Del Days]]&gt;15,"Slow")</f>
        <v>Standard</v>
      </c>
      <c r="AB52" t="s">
        <v>34</v>
      </c>
      <c r="AC52">
        <f>IF(Data_Analyst_Intern_Nikhil_Kumar_February2026[[#This Row],[Status]]="RTO", 1,0)</f>
        <v>0</v>
      </c>
      <c r="AD52">
        <f>IF(Data_Analyst_Intern_Nikhil_Kumar_February2026[[#This Row],[Status]]="Delivered",1,0)</f>
        <v>1</v>
      </c>
      <c r="AE52" t="s">
        <v>47</v>
      </c>
      <c r="AF52">
        <f>IF(AND(Data_Analyst_Intern_Nikhil_Kumar_February2026[[#This Row],[Status]]="Delivered",Data_Analyst_Intern_Nikhil_Kumar_February2026[[#This Row],[Return?]]="Yes"),1,0)</f>
        <v>1</v>
      </c>
      <c r="AG52" t="s">
        <v>69</v>
      </c>
      <c r="AH52" s="1">
        <v>45610</v>
      </c>
      <c r="AI52" t="s">
        <v>49</v>
      </c>
    </row>
    <row r="53" spans="1:35" x14ac:dyDescent="0.3">
      <c r="A53" t="s">
        <v>299</v>
      </c>
      <c r="B53" s="1">
        <v>45578</v>
      </c>
      <c r="C53" s="1" t="str">
        <f>TEXT(Data_Analyst_Intern_Nikhil_Kumar_February2026[[#This Row],[Order Date]], "mmmm")</f>
        <v>October</v>
      </c>
      <c r="D53" s="23">
        <f>WEEKNUM(Data_Analyst_Intern_Nikhil_Kumar_February2026[[#This Row],[Order Date]],2)</f>
        <v>41</v>
      </c>
      <c r="E53" s="23" t="str">
        <f>TEXT(Data_Analyst_Intern_Nikhil_Kumar_February2026[[#This Row],[Order Date]],"dddd")</f>
        <v>Sunday</v>
      </c>
      <c r="F53" s="1">
        <v>45572</v>
      </c>
      <c r="G53" s="23" t="str">
        <f>TEXT(WEEKDAY(Data_Analyst_Intern_Nikhil_Kumar_February2026[[#This Row],[Order Date]],2), "dddd")</f>
        <v>Saturday</v>
      </c>
      <c r="H53" t="s">
        <v>300</v>
      </c>
      <c r="I53" t="s">
        <v>25</v>
      </c>
      <c r="J53" t="s">
        <v>301</v>
      </c>
      <c r="K53" t="s">
        <v>27</v>
      </c>
      <c r="L53" t="s">
        <v>302</v>
      </c>
      <c r="M53" s="2">
        <v>1699</v>
      </c>
      <c r="N53">
        <v>1</v>
      </c>
      <c r="O53" s="2">
        <v>1699</v>
      </c>
      <c r="P53" t="s">
        <v>111</v>
      </c>
      <c r="Q53">
        <v>10</v>
      </c>
      <c r="R53" s="4">
        <f>IFERROR(Data_Analyst_Intern_Nikhil_Kumar_February2026[[#This Row],[Total]]/Data_Analyst_Intern_Nikhil_Kumar_February2026[[#This Row],[Discount(%)]],0)</f>
        <v>169.9</v>
      </c>
      <c r="S53" s="2">
        <f>Data_Analyst_Intern_Nikhil_Kumar_February2026[[#This Row],[Total]]-Data_Analyst_Intern_Nikhil_Kumar_February2026[[#This Row],[Discount Amount]]</f>
        <v>1529.1</v>
      </c>
      <c r="T53" t="s">
        <v>44</v>
      </c>
      <c r="U53" t="s">
        <v>31</v>
      </c>
      <c r="V53" t="s">
        <v>182</v>
      </c>
      <c r="W53" t="s">
        <v>183</v>
      </c>
      <c r="X53" t="s">
        <v>57</v>
      </c>
      <c r="Y53" s="1">
        <v>45586</v>
      </c>
      <c r="Z53" s="3">
        <f>Data_Analyst_Intern_Nikhil_Kumar_February2026[[#This Row],[Del Date]]-Data_Analyst_Intern_Nikhil_Kumar_February2026[[#This Row],[Order Date]]</f>
        <v>8</v>
      </c>
      <c r="AA53" s="3" t="str" cm="1">
        <f t="array" ref="AA53">_xlfn.IFS(Data_Analyst_Intern_Nikhil_Kumar_February2026[[#This Row],[Del Days]]&lt;=7,"Fast",Data_Analyst_Intern_Nikhil_Kumar_February2026[[#This Row],[Del Days]]&lt;=15,"Standard",Data_Analyst_Intern_Nikhil_Kumar_February2026[[#This Row],[Del Days]]&gt;15,"Slow")</f>
        <v>Standard</v>
      </c>
      <c r="AB53" t="s">
        <v>34</v>
      </c>
      <c r="AC53">
        <f>IF(Data_Analyst_Intern_Nikhil_Kumar_February2026[[#This Row],[Status]]="RTO", 1,0)</f>
        <v>0</v>
      </c>
      <c r="AD53">
        <f>IF(Data_Analyst_Intern_Nikhil_Kumar_February2026[[#This Row],[Status]]="Delivered",1,0)</f>
        <v>1</v>
      </c>
      <c r="AE53" t="s">
        <v>35</v>
      </c>
      <c r="AF53">
        <f>IF(AND(Data_Analyst_Intern_Nikhil_Kumar_February2026[[#This Row],[Status]]="Delivered",Data_Analyst_Intern_Nikhil_Kumar_February2026[[#This Row],[Return?]]="Yes"),1,0)</f>
        <v>0</v>
      </c>
      <c r="AG53" t="s">
        <v>29</v>
      </c>
      <c r="AI53" t="s">
        <v>36</v>
      </c>
    </row>
    <row r="54" spans="1:35" x14ac:dyDescent="0.3">
      <c r="A54" t="s">
        <v>303</v>
      </c>
      <c r="B54" s="1">
        <v>45578</v>
      </c>
      <c r="C54" s="1" t="str">
        <f>TEXT(Data_Analyst_Intern_Nikhil_Kumar_February2026[[#This Row],[Order Date]], "mmmm")</f>
        <v>October</v>
      </c>
      <c r="D54" s="23">
        <f>WEEKNUM(Data_Analyst_Intern_Nikhil_Kumar_February2026[[#This Row],[Order Date]],2)</f>
        <v>41</v>
      </c>
      <c r="E54" s="23" t="str">
        <f>TEXT(Data_Analyst_Intern_Nikhil_Kumar_February2026[[#This Row],[Order Date]],"dddd")</f>
        <v>Sunday</v>
      </c>
      <c r="F54" s="1">
        <v>45572</v>
      </c>
      <c r="G54" s="23" t="str">
        <f>TEXT(WEEKDAY(Data_Analyst_Intern_Nikhil_Kumar_February2026[[#This Row],[Order Date]],2), "dddd")</f>
        <v>Saturday</v>
      </c>
      <c r="H54" t="s">
        <v>304</v>
      </c>
      <c r="I54" t="s">
        <v>25</v>
      </c>
      <c r="J54" t="s">
        <v>305</v>
      </c>
      <c r="K54" t="s">
        <v>62</v>
      </c>
      <c r="L54" t="s">
        <v>306</v>
      </c>
      <c r="M54" s="2">
        <v>3799</v>
      </c>
      <c r="N54">
        <v>1</v>
      </c>
      <c r="O54" s="2">
        <v>3799</v>
      </c>
      <c r="P54" t="s">
        <v>29</v>
      </c>
      <c r="Q54">
        <v>0</v>
      </c>
      <c r="R54" s="4">
        <f>IFERROR(Data_Analyst_Intern_Nikhil_Kumar_February2026[[#This Row],[Total]]/Data_Analyst_Intern_Nikhil_Kumar_February2026[[#This Row],[Discount(%)]],0)</f>
        <v>0</v>
      </c>
      <c r="S54" s="2">
        <f>Data_Analyst_Intern_Nikhil_Kumar_February2026[[#This Row],[Total]]-Data_Analyst_Intern_Nikhil_Kumar_February2026[[#This Row],[Discount Amount]]</f>
        <v>3799</v>
      </c>
      <c r="T54" t="s">
        <v>30</v>
      </c>
      <c r="U54" t="s">
        <v>45</v>
      </c>
      <c r="V54" t="s">
        <v>188</v>
      </c>
      <c r="W54" t="s">
        <v>189</v>
      </c>
      <c r="X54" t="s">
        <v>57</v>
      </c>
      <c r="Y54" s="1">
        <v>45588</v>
      </c>
      <c r="Z54" s="3">
        <f>Data_Analyst_Intern_Nikhil_Kumar_February2026[[#This Row],[Del Date]]-Data_Analyst_Intern_Nikhil_Kumar_February2026[[#This Row],[Order Date]]</f>
        <v>10</v>
      </c>
      <c r="AA54" s="3" t="str" cm="1">
        <f t="array" ref="AA54">_xlfn.IFS(Data_Analyst_Intern_Nikhil_Kumar_February2026[[#This Row],[Del Days]]&lt;=7,"Fast",Data_Analyst_Intern_Nikhil_Kumar_February2026[[#This Row],[Del Days]]&lt;=15,"Standard",Data_Analyst_Intern_Nikhil_Kumar_February2026[[#This Row],[Del Days]]&gt;15,"Slow")</f>
        <v>Standard</v>
      </c>
      <c r="AB54" t="s">
        <v>34</v>
      </c>
      <c r="AC54">
        <f>IF(Data_Analyst_Intern_Nikhil_Kumar_February2026[[#This Row],[Status]]="RTO", 1,0)</f>
        <v>0</v>
      </c>
      <c r="AD54">
        <f>IF(Data_Analyst_Intern_Nikhil_Kumar_February2026[[#This Row],[Status]]="Delivered",1,0)</f>
        <v>1</v>
      </c>
      <c r="AE54" t="s">
        <v>47</v>
      </c>
      <c r="AF54">
        <f>IF(AND(Data_Analyst_Intern_Nikhil_Kumar_February2026[[#This Row],[Status]]="Delivered",Data_Analyst_Intern_Nikhil_Kumar_February2026[[#This Row],[Return?]]="Yes"),1,0)</f>
        <v>1</v>
      </c>
      <c r="AG54" t="s">
        <v>48</v>
      </c>
      <c r="AH54" s="1">
        <v>45614</v>
      </c>
      <c r="AI54" t="s">
        <v>49</v>
      </c>
    </row>
    <row r="55" spans="1:35" x14ac:dyDescent="0.3">
      <c r="A55" t="s">
        <v>307</v>
      </c>
      <c r="B55" s="1">
        <v>45578</v>
      </c>
      <c r="C55" s="1" t="str">
        <f>TEXT(Data_Analyst_Intern_Nikhil_Kumar_February2026[[#This Row],[Order Date]], "mmmm")</f>
        <v>October</v>
      </c>
      <c r="D55" s="23">
        <f>WEEKNUM(Data_Analyst_Intern_Nikhil_Kumar_February2026[[#This Row],[Order Date]],2)</f>
        <v>41</v>
      </c>
      <c r="E55" s="23" t="str">
        <f>TEXT(Data_Analyst_Intern_Nikhil_Kumar_February2026[[#This Row],[Order Date]],"dddd")</f>
        <v>Sunday</v>
      </c>
      <c r="F55" s="1">
        <v>45572</v>
      </c>
      <c r="G55" s="23" t="str">
        <f>TEXT(WEEKDAY(Data_Analyst_Intern_Nikhil_Kumar_February2026[[#This Row],[Order Date]],2), "dddd")</f>
        <v>Saturday</v>
      </c>
      <c r="H55" t="s">
        <v>308</v>
      </c>
      <c r="I55" t="s">
        <v>39</v>
      </c>
      <c r="J55" t="s">
        <v>309</v>
      </c>
      <c r="K55" t="s">
        <v>72</v>
      </c>
      <c r="L55" t="s">
        <v>310</v>
      </c>
      <c r="M55" s="2">
        <v>1299</v>
      </c>
      <c r="N55">
        <v>1</v>
      </c>
      <c r="O55" s="2">
        <v>1299</v>
      </c>
      <c r="P55" t="s">
        <v>29</v>
      </c>
      <c r="Q55">
        <v>0</v>
      </c>
      <c r="R55" s="4">
        <f>IFERROR(Data_Analyst_Intern_Nikhil_Kumar_February2026[[#This Row],[Total]]/Data_Analyst_Intern_Nikhil_Kumar_February2026[[#This Row],[Discount(%)]],0)</f>
        <v>0</v>
      </c>
      <c r="S55" s="2">
        <f>Data_Analyst_Intern_Nikhil_Kumar_February2026[[#This Row],[Total]]-Data_Analyst_Intern_Nikhil_Kumar_February2026[[#This Row],[Discount Amount]]</f>
        <v>1299</v>
      </c>
      <c r="T55" t="s">
        <v>56</v>
      </c>
      <c r="U55" t="s">
        <v>66</v>
      </c>
      <c r="V55" t="s">
        <v>194</v>
      </c>
      <c r="W55" t="s">
        <v>183</v>
      </c>
      <c r="X55" t="s">
        <v>57</v>
      </c>
      <c r="Y55" s="1">
        <v>45587</v>
      </c>
      <c r="Z55" s="3">
        <f>Data_Analyst_Intern_Nikhil_Kumar_February2026[[#This Row],[Del Date]]-Data_Analyst_Intern_Nikhil_Kumar_February2026[[#This Row],[Order Date]]</f>
        <v>9</v>
      </c>
      <c r="AA55" s="3" t="str" cm="1">
        <f t="array" ref="AA55">_xlfn.IFS(Data_Analyst_Intern_Nikhil_Kumar_February2026[[#This Row],[Del Days]]&lt;=7,"Fast",Data_Analyst_Intern_Nikhil_Kumar_February2026[[#This Row],[Del Days]]&lt;=15,"Standard",Data_Analyst_Intern_Nikhil_Kumar_February2026[[#This Row],[Del Days]]&gt;15,"Slow")</f>
        <v>Standard</v>
      </c>
      <c r="AB55" t="s">
        <v>34</v>
      </c>
      <c r="AC55">
        <f>IF(Data_Analyst_Intern_Nikhil_Kumar_February2026[[#This Row],[Status]]="RTO", 1,0)</f>
        <v>0</v>
      </c>
      <c r="AD55">
        <f>IF(Data_Analyst_Intern_Nikhil_Kumar_February2026[[#This Row],[Status]]="Delivered",1,0)</f>
        <v>1</v>
      </c>
      <c r="AE55" t="s">
        <v>35</v>
      </c>
      <c r="AF55">
        <f>IF(AND(Data_Analyst_Intern_Nikhil_Kumar_February2026[[#This Row],[Status]]="Delivered",Data_Analyst_Intern_Nikhil_Kumar_February2026[[#This Row],[Return?]]="Yes"),1,0)</f>
        <v>0</v>
      </c>
      <c r="AG55" t="s">
        <v>29</v>
      </c>
      <c r="AI55" t="s">
        <v>36</v>
      </c>
    </row>
    <row r="56" spans="1:35" x14ac:dyDescent="0.3">
      <c r="A56" t="s">
        <v>311</v>
      </c>
      <c r="B56" s="1">
        <v>45578</v>
      </c>
      <c r="C56" s="1" t="str">
        <f>TEXT(Data_Analyst_Intern_Nikhil_Kumar_February2026[[#This Row],[Order Date]], "mmmm")</f>
        <v>October</v>
      </c>
      <c r="D56" s="23">
        <f>WEEKNUM(Data_Analyst_Intern_Nikhil_Kumar_February2026[[#This Row],[Order Date]],2)</f>
        <v>41</v>
      </c>
      <c r="E56" s="23" t="str">
        <f>TEXT(Data_Analyst_Intern_Nikhil_Kumar_February2026[[#This Row],[Order Date]],"dddd")</f>
        <v>Sunday</v>
      </c>
      <c r="F56" s="1">
        <v>45572</v>
      </c>
      <c r="G56" s="23" t="str">
        <f>TEXT(WEEKDAY(Data_Analyst_Intern_Nikhil_Kumar_February2026[[#This Row],[Order Date]],2), "dddd")</f>
        <v>Saturday</v>
      </c>
      <c r="H56" t="s">
        <v>312</v>
      </c>
      <c r="I56" t="s">
        <v>25</v>
      </c>
      <c r="J56" t="s">
        <v>313</v>
      </c>
      <c r="K56" t="s">
        <v>54</v>
      </c>
      <c r="L56" t="s">
        <v>314</v>
      </c>
      <c r="M56" s="2">
        <v>2099</v>
      </c>
      <c r="N56">
        <v>1</v>
      </c>
      <c r="O56" s="2">
        <v>2099</v>
      </c>
      <c r="P56" t="s">
        <v>43</v>
      </c>
      <c r="Q56">
        <v>20</v>
      </c>
      <c r="R56" s="4">
        <f>IFERROR(Data_Analyst_Intern_Nikhil_Kumar_February2026[[#This Row],[Total]]/Data_Analyst_Intern_Nikhil_Kumar_February2026[[#This Row],[Discount(%)]],0)</f>
        <v>104.95</v>
      </c>
      <c r="S56" s="2">
        <f>Data_Analyst_Intern_Nikhil_Kumar_February2026[[#This Row],[Total]]-Data_Analyst_Intern_Nikhil_Kumar_February2026[[#This Row],[Discount Amount]]</f>
        <v>1994.05</v>
      </c>
      <c r="T56" t="s">
        <v>44</v>
      </c>
      <c r="U56" t="s">
        <v>31</v>
      </c>
      <c r="V56" t="s">
        <v>199</v>
      </c>
      <c r="W56" t="s">
        <v>58</v>
      </c>
      <c r="X56" t="s">
        <v>57</v>
      </c>
      <c r="Y56" s="1">
        <v>45589</v>
      </c>
      <c r="Z56" s="3">
        <f>Data_Analyst_Intern_Nikhil_Kumar_February2026[[#This Row],[Del Date]]-Data_Analyst_Intern_Nikhil_Kumar_February2026[[#This Row],[Order Date]]</f>
        <v>11</v>
      </c>
      <c r="AA56" s="3" t="str" cm="1">
        <f t="array" ref="AA56">_xlfn.IFS(Data_Analyst_Intern_Nikhil_Kumar_February2026[[#This Row],[Del Days]]&lt;=7,"Fast",Data_Analyst_Intern_Nikhil_Kumar_February2026[[#This Row],[Del Days]]&lt;=15,"Standard",Data_Analyst_Intern_Nikhil_Kumar_February2026[[#This Row],[Del Days]]&gt;15,"Slow")</f>
        <v>Standard</v>
      </c>
      <c r="AB56" t="s">
        <v>34</v>
      </c>
      <c r="AC56">
        <f>IF(Data_Analyst_Intern_Nikhil_Kumar_February2026[[#This Row],[Status]]="RTO", 1,0)</f>
        <v>0</v>
      </c>
      <c r="AD56">
        <f>IF(Data_Analyst_Intern_Nikhil_Kumar_February2026[[#This Row],[Status]]="Delivered",1,0)</f>
        <v>1</v>
      </c>
      <c r="AE56" t="s">
        <v>35</v>
      </c>
      <c r="AF56">
        <f>IF(AND(Data_Analyst_Intern_Nikhil_Kumar_February2026[[#This Row],[Status]]="Delivered",Data_Analyst_Intern_Nikhil_Kumar_February2026[[#This Row],[Return?]]="Yes"),1,0)</f>
        <v>0</v>
      </c>
      <c r="AG56" t="s">
        <v>29</v>
      </c>
      <c r="AI56" t="s">
        <v>36</v>
      </c>
    </row>
    <row r="57" spans="1:35" x14ac:dyDescent="0.3">
      <c r="A57" t="s">
        <v>315</v>
      </c>
      <c r="B57" s="1">
        <v>45579</v>
      </c>
      <c r="C57" s="1" t="str">
        <f>TEXT(Data_Analyst_Intern_Nikhil_Kumar_February2026[[#This Row],[Order Date]], "mmmm")</f>
        <v>October</v>
      </c>
      <c r="D57" s="23">
        <f>WEEKNUM(Data_Analyst_Intern_Nikhil_Kumar_February2026[[#This Row],[Order Date]],2)</f>
        <v>42</v>
      </c>
      <c r="E57" s="23" t="str">
        <f>TEXT(Data_Analyst_Intern_Nikhil_Kumar_February2026[[#This Row],[Order Date]],"dddd")</f>
        <v>Monday</v>
      </c>
      <c r="F57" s="1">
        <v>45579</v>
      </c>
      <c r="G57" s="23" t="str">
        <f>TEXT(WEEKDAY(Data_Analyst_Intern_Nikhil_Kumar_February2026[[#This Row],[Order Date]],2), "dddd")</f>
        <v>Sunday</v>
      </c>
      <c r="H57" t="s">
        <v>316</v>
      </c>
      <c r="I57" t="s">
        <v>25</v>
      </c>
      <c r="J57" t="s">
        <v>317</v>
      </c>
      <c r="K57" t="s">
        <v>41</v>
      </c>
      <c r="L57" t="s">
        <v>318</v>
      </c>
      <c r="M57" s="2">
        <v>2799</v>
      </c>
      <c r="N57">
        <v>1</v>
      </c>
      <c r="O57" s="2">
        <v>2799</v>
      </c>
      <c r="P57" t="s">
        <v>29</v>
      </c>
      <c r="Q57">
        <v>0</v>
      </c>
      <c r="R57" s="4">
        <f>IFERROR(Data_Analyst_Intern_Nikhil_Kumar_February2026[[#This Row],[Total]]/Data_Analyst_Intern_Nikhil_Kumar_February2026[[#This Row],[Discount(%)]],0)</f>
        <v>0</v>
      </c>
      <c r="S57" s="2">
        <f>Data_Analyst_Intern_Nikhil_Kumar_February2026[[#This Row],[Total]]-Data_Analyst_Intern_Nikhil_Kumar_February2026[[#This Row],[Discount Amount]]</f>
        <v>2799</v>
      </c>
      <c r="T57" t="s">
        <v>65</v>
      </c>
      <c r="U57" t="s">
        <v>45</v>
      </c>
      <c r="V57" t="s">
        <v>204</v>
      </c>
      <c r="W57" t="s">
        <v>98</v>
      </c>
      <c r="X57" t="s">
        <v>32</v>
      </c>
      <c r="Y57" s="1">
        <v>45588</v>
      </c>
      <c r="Z57" s="3">
        <f>Data_Analyst_Intern_Nikhil_Kumar_February2026[[#This Row],[Del Date]]-Data_Analyst_Intern_Nikhil_Kumar_February2026[[#This Row],[Order Date]]</f>
        <v>9</v>
      </c>
      <c r="AA57" s="3" t="str" cm="1">
        <f t="array" ref="AA57">_xlfn.IFS(Data_Analyst_Intern_Nikhil_Kumar_February2026[[#This Row],[Del Days]]&lt;=7,"Fast",Data_Analyst_Intern_Nikhil_Kumar_February2026[[#This Row],[Del Days]]&lt;=15,"Standard",Data_Analyst_Intern_Nikhil_Kumar_February2026[[#This Row],[Del Days]]&gt;15,"Slow")</f>
        <v>Standard</v>
      </c>
      <c r="AB57" t="s">
        <v>34</v>
      </c>
      <c r="AC57">
        <f>IF(Data_Analyst_Intern_Nikhil_Kumar_February2026[[#This Row],[Status]]="RTO", 1,0)</f>
        <v>0</v>
      </c>
      <c r="AD57">
        <f>IF(Data_Analyst_Intern_Nikhil_Kumar_February2026[[#This Row],[Status]]="Delivered",1,0)</f>
        <v>1</v>
      </c>
      <c r="AE57" t="s">
        <v>47</v>
      </c>
      <c r="AF57">
        <f>IF(AND(Data_Analyst_Intern_Nikhil_Kumar_February2026[[#This Row],[Status]]="Delivered",Data_Analyst_Intern_Nikhil_Kumar_February2026[[#This Row],[Return?]]="Yes"),1,0)</f>
        <v>1</v>
      </c>
      <c r="AG57" t="s">
        <v>80</v>
      </c>
      <c r="AH57" s="1">
        <v>45612</v>
      </c>
      <c r="AI57" t="s">
        <v>49</v>
      </c>
    </row>
    <row r="58" spans="1:35" x14ac:dyDescent="0.3">
      <c r="A58" t="s">
        <v>319</v>
      </c>
      <c r="B58" s="1">
        <v>45579</v>
      </c>
      <c r="C58" s="1" t="str">
        <f>TEXT(Data_Analyst_Intern_Nikhil_Kumar_February2026[[#This Row],[Order Date]], "mmmm")</f>
        <v>October</v>
      </c>
      <c r="D58" s="23">
        <f>WEEKNUM(Data_Analyst_Intern_Nikhil_Kumar_February2026[[#This Row],[Order Date]],2)</f>
        <v>42</v>
      </c>
      <c r="E58" s="23" t="str">
        <f>TEXT(Data_Analyst_Intern_Nikhil_Kumar_February2026[[#This Row],[Order Date]],"dddd")</f>
        <v>Monday</v>
      </c>
      <c r="F58" s="1">
        <v>45579</v>
      </c>
      <c r="G58" s="23" t="str">
        <f>TEXT(WEEKDAY(Data_Analyst_Intern_Nikhil_Kumar_February2026[[#This Row],[Order Date]],2), "dddd")</f>
        <v>Sunday</v>
      </c>
      <c r="H58" t="s">
        <v>320</v>
      </c>
      <c r="I58" t="s">
        <v>25</v>
      </c>
      <c r="J58" t="s">
        <v>321</v>
      </c>
      <c r="K58" t="s">
        <v>27</v>
      </c>
      <c r="L58" t="s">
        <v>322</v>
      </c>
      <c r="M58" s="2">
        <v>1499</v>
      </c>
      <c r="N58">
        <v>1</v>
      </c>
      <c r="O58" s="2">
        <v>1499</v>
      </c>
      <c r="P58" t="s">
        <v>29</v>
      </c>
      <c r="Q58">
        <v>0</v>
      </c>
      <c r="R58" s="4">
        <f>IFERROR(Data_Analyst_Intern_Nikhil_Kumar_February2026[[#This Row],[Total]]/Data_Analyst_Intern_Nikhil_Kumar_February2026[[#This Row],[Discount(%)]],0)</f>
        <v>0</v>
      </c>
      <c r="S58" s="2">
        <f>Data_Analyst_Intern_Nikhil_Kumar_February2026[[#This Row],[Total]]-Data_Analyst_Intern_Nikhil_Kumar_February2026[[#This Row],[Discount Amount]]</f>
        <v>1499</v>
      </c>
      <c r="T58" t="s">
        <v>112</v>
      </c>
      <c r="U58" t="s">
        <v>31</v>
      </c>
      <c r="V58" t="s">
        <v>209</v>
      </c>
      <c r="W58" t="s">
        <v>98</v>
      </c>
      <c r="X58" t="s">
        <v>32</v>
      </c>
      <c r="Y58" s="1">
        <v>45587</v>
      </c>
      <c r="Z58" s="3">
        <f>Data_Analyst_Intern_Nikhil_Kumar_February2026[[#This Row],[Del Date]]-Data_Analyst_Intern_Nikhil_Kumar_February2026[[#This Row],[Order Date]]</f>
        <v>8</v>
      </c>
      <c r="AA58" s="3" t="str" cm="1">
        <f t="array" ref="AA58">_xlfn.IFS(Data_Analyst_Intern_Nikhil_Kumar_February2026[[#This Row],[Del Days]]&lt;=7,"Fast",Data_Analyst_Intern_Nikhil_Kumar_February2026[[#This Row],[Del Days]]&lt;=15,"Standard",Data_Analyst_Intern_Nikhil_Kumar_February2026[[#This Row],[Del Days]]&gt;15,"Slow")</f>
        <v>Standard</v>
      </c>
      <c r="AB58" t="s">
        <v>34</v>
      </c>
      <c r="AC58">
        <f>IF(Data_Analyst_Intern_Nikhil_Kumar_February2026[[#This Row],[Status]]="RTO", 1,0)</f>
        <v>0</v>
      </c>
      <c r="AD58">
        <f>IF(Data_Analyst_Intern_Nikhil_Kumar_February2026[[#This Row],[Status]]="Delivered",1,0)</f>
        <v>1</v>
      </c>
      <c r="AE58" t="s">
        <v>35</v>
      </c>
      <c r="AF58">
        <f>IF(AND(Data_Analyst_Intern_Nikhil_Kumar_February2026[[#This Row],[Status]]="Delivered",Data_Analyst_Intern_Nikhil_Kumar_February2026[[#This Row],[Return?]]="Yes"),1,0)</f>
        <v>0</v>
      </c>
      <c r="AG58" t="s">
        <v>29</v>
      </c>
      <c r="AI58" t="s">
        <v>36</v>
      </c>
    </row>
    <row r="59" spans="1:35" x14ac:dyDescent="0.3">
      <c r="A59" t="s">
        <v>323</v>
      </c>
      <c r="B59" s="1">
        <v>45579</v>
      </c>
      <c r="C59" s="1" t="str">
        <f>TEXT(Data_Analyst_Intern_Nikhil_Kumar_February2026[[#This Row],[Order Date]], "mmmm")</f>
        <v>October</v>
      </c>
      <c r="D59" s="23">
        <f>WEEKNUM(Data_Analyst_Intern_Nikhil_Kumar_February2026[[#This Row],[Order Date]],2)</f>
        <v>42</v>
      </c>
      <c r="E59" s="23" t="str">
        <f>TEXT(Data_Analyst_Intern_Nikhil_Kumar_February2026[[#This Row],[Order Date]],"dddd")</f>
        <v>Monday</v>
      </c>
      <c r="F59" s="1">
        <v>45579</v>
      </c>
      <c r="G59" s="23" t="str">
        <f>TEXT(WEEKDAY(Data_Analyst_Intern_Nikhil_Kumar_February2026[[#This Row],[Order Date]],2), "dddd")</f>
        <v>Sunday</v>
      </c>
      <c r="H59" t="s">
        <v>324</v>
      </c>
      <c r="I59" t="s">
        <v>39</v>
      </c>
      <c r="J59" t="s">
        <v>325</v>
      </c>
      <c r="K59" t="s">
        <v>62</v>
      </c>
      <c r="L59" t="s">
        <v>326</v>
      </c>
      <c r="M59" s="2">
        <v>4499</v>
      </c>
      <c r="N59">
        <v>1</v>
      </c>
      <c r="O59" s="2">
        <v>4499</v>
      </c>
      <c r="P59" t="s">
        <v>64</v>
      </c>
      <c r="Q59">
        <v>15</v>
      </c>
      <c r="R59" s="4">
        <f>IFERROR(Data_Analyst_Intern_Nikhil_Kumar_February2026[[#This Row],[Total]]/Data_Analyst_Intern_Nikhil_Kumar_February2026[[#This Row],[Discount(%)]],0)</f>
        <v>299.93333333333334</v>
      </c>
      <c r="S59" s="2">
        <f>Data_Analyst_Intern_Nikhil_Kumar_February2026[[#This Row],[Total]]-Data_Analyst_Intern_Nikhil_Kumar_February2026[[#This Row],[Discount Amount]]</f>
        <v>4199.0666666666666</v>
      </c>
      <c r="T59" t="s">
        <v>30</v>
      </c>
      <c r="U59" t="s">
        <v>66</v>
      </c>
      <c r="V59" t="s">
        <v>214</v>
      </c>
      <c r="W59" t="s">
        <v>114</v>
      </c>
      <c r="X59" t="s">
        <v>46</v>
      </c>
      <c r="Y59" s="1">
        <v>45590</v>
      </c>
      <c r="Z59" s="3">
        <f>Data_Analyst_Intern_Nikhil_Kumar_February2026[[#This Row],[Del Date]]-Data_Analyst_Intern_Nikhil_Kumar_February2026[[#This Row],[Order Date]]</f>
        <v>11</v>
      </c>
      <c r="AA59" s="3" t="str" cm="1">
        <f t="array" ref="AA59">_xlfn.IFS(Data_Analyst_Intern_Nikhil_Kumar_February2026[[#This Row],[Del Days]]&lt;=7,"Fast",Data_Analyst_Intern_Nikhil_Kumar_February2026[[#This Row],[Del Days]]&lt;=15,"Standard",Data_Analyst_Intern_Nikhil_Kumar_February2026[[#This Row],[Del Days]]&gt;15,"Slow")</f>
        <v>Standard</v>
      </c>
      <c r="AB59" t="s">
        <v>34</v>
      </c>
      <c r="AC59">
        <f>IF(Data_Analyst_Intern_Nikhil_Kumar_February2026[[#This Row],[Status]]="RTO", 1,0)</f>
        <v>0</v>
      </c>
      <c r="AD59">
        <f>IF(Data_Analyst_Intern_Nikhil_Kumar_February2026[[#This Row],[Status]]="Delivered",1,0)</f>
        <v>1</v>
      </c>
      <c r="AE59" t="s">
        <v>47</v>
      </c>
      <c r="AF59">
        <f>IF(AND(Data_Analyst_Intern_Nikhil_Kumar_February2026[[#This Row],[Status]]="Delivered",Data_Analyst_Intern_Nikhil_Kumar_February2026[[#This Row],[Return?]]="Yes"),1,0)</f>
        <v>1</v>
      </c>
      <c r="AG59" t="s">
        <v>105</v>
      </c>
      <c r="AH59" s="1">
        <v>45616</v>
      </c>
      <c r="AI59" t="s">
        <v>49</v>
      </c>
    </row>
    <row r="60" spans="1:35" x14ac:dyDescent="0.3">
      <c r="A60" t="s">
        <v>327</v>
      </c>
      <c r="B60" s="1">
        <v>45579</v>
      </c>
      <c r="C60" s="1" t="str">
        <f>TEXT(Data_Analyst_Intern_Nikhil_Kumar_February2026[[#This Row],[Order Date]], "mmmm")</f>
        <v>October</v>
      </c>
      <c r="D60" s="23">
        <f>WEEKNUM(Data_Analyst_Intern_Nikhil_Kumar_February2026[[#This Row],[Order Date]],2)</f>
        <v>42</v>
      </c>
      <c r="E60" s="23" t="str">
        <f>TEXT(Data_Analyst_Intern_Nikhil_Kumar_February2026[[#This Row],[Order Date]],"dddd")</f>
        <v>Monday</v>
      </c>
      <c r="F60" s="1">
        <v>45579</v>
      </c>
      <c r="G60" s="23" t="str">
        <f>TEXT(WEEKDAY(Data_Analyst_Intern_Nikhil_Kumar_February2026[[#This Row],[Order Date]],2), "dddd")</f>
        <v>Sunday</v>
      </c>
      <c r="H60" t="s">
        <v>328</v>
      </c>
      <c r="I60" t="s">
        <v>25</v>
      </c>
      <c r="J60" t="s">
        <v>329</v>
      </c>
      <c r="K60" t="s">
        <v>72</v>
      </c>
      <c r="L60" t="s">
        <v>330</v>
      </c>
      <c r="M60" s="2">
        <v>899</v>
      </c>
      <c r="N60">
        <v>1</v>
      </c>
      <c r="O60" s="2">
        <v>899</v>
      </c>
      <c r="P60" t="s">
        <v>29</v>
      </c>
      <c r="Q60">
        <v>0</v>
      </c>
      <c r="R60" s="4">
        <f>IFERROR(Data_Analyst_Intern_Nikhil_Kumar_February2026[[#This Row],[Total]]/Data_Analyst_Intern_Nikhil_Kumar_February2026[[#This Row],[Discount(%)]],0)</f>
        <v>0</v>
      </c>
      <c r="S60" s="2">
        <f>Data_Analyst_Intern_Nikhil_Kumar_February2026[[#This Row],[Total]]-Data_Analyst_Intern_Nikhil_Kumar_February2026[[#This Row],[Discount Amount]]</f>
        <v>899</v>
      </c>
      <c r="T60" t="s">
        <v>44</v>
      </c>
      <c r="U60" t="s">
        <v>45</v>
      </c>
      <c r="V60" t="s">
        <v>32</v>
      </c>
      <c r="W60" t="s">
        <v>33</v>
      </c>
      <c r="X60" t="s">
        <v>32</v>
      </c>
      <c r="Y60" s="1">
        <v>45588</v>
      </c>
      <c r="Z60" s="3">
        <f>Data_Analyst_Intern_Nikhil_Kumar_February2026[[#This Row],[Del Date]]-Data_Analyst_Intern_Nikhil_Kumar_February2026[[#This Row],[Order Date]]</f>
        <v>9</v>
      </c>
      <c r="AA60" s="3" t="str" cm="1">
        <f t="array" ref="AA60">_xlfn.IFS(Data_Analyst_Intern_Nikhil_Kumar_February2026[[#This Row],[Del Days]]&lt;=7,"Fast",Data_Analyst_Intern_Nikhil_Kumar_February2026[[#This Row],[Del Days]]&lt;=15,"Standard",Data_Analyst_Intern_Nikhil_Kumar_February2026[[#This Row],[Del Days]]&gt;15,"Slow")</f>
        <v>Standard</v>
      </c>
      <c r="AB60" t="s">
        <v>34</v>
      </c>
      <c r="AC60">
        <f>IF(Data_Analyst_Intern_Nikhil_Kumar_February2026[[#This Row],[Status]]="RTO", 1,0)</f>
        <v>0</v>
      </c>
      <c r="AD60">
        <f>IF(Data_Analyst_Intern_Nikhil_Kumar_February2026[[#This Row],[Status]]="Delivered",1,0)</f>
        <v>1</v>
      </c>
      <c r="AE60" t="s">
        <v>35</v>
      </c>
      <c r="AF60">
        <f>IF(AND(Data_Analyst_Intern_Nikhil_Kumar_February2026[[#This Row],[Status]]="Delivered",Data_Analyst_Intern_Nikhil_Kumar_February2026[[#This Row],[Return?]]="Yes"),1,0)</f>
        <v>0</v>
      </c>
      <c r="AG60" t="s">
        <v>29</v>
      </c>
      <c r="AI60" t="s">
        <v>36</v>
      </c>
    </row>
    <row r="61" spans="1:35" x14ac:dyDescent="0.3">
      <c r="A61" t="s">
        <v>331</v>
      </c>
      <c r="B61" s="1">
        <v>45580</v>
      </c>
      <c r="C61" s="1" t="str">
        <f>TEXT(Data_Analyst_Intern_Nikhil_Kumar_February2026[[#This Row],[Order Date]], "mmmm")</f>
        <v>October</v>
      </c>
      <c r="D61" s="23">
        <f>WEEKNUM(Data_Analyst_Intern_Nikhil_Kumar_February2026[[#This Row],[Order Date]],2)</f>
        <v>42</v>
      </c>
      <c r="E61" s="23" t="str">
        <f>TEXT(Data_Analyst_Intern_Nikhil_Kumar_February2026[[#This Row],[Order Date]],"dddd")</f>
        <v>Tuesday</v>
      </c>
      <c r="F61" s="1">
        <v>45579</v>
      </c>
      <c r="G61" s="23" t="str">
        <f>TEXT(WEEKDAY(Data_Analyst_Intern_Nikhil_Kumar_February2026[[#This Row],[Order Date]],2), "dddd")</f>
        <v>Monday</v>
      </c>
      <c r="H61" t="s">
        <v>332</v>
      </c>
      <c r="I61" t="s">
        <v>25</v>
      </c>
      <c r="J61" t="s">
        <v>333</v>
      </c>
      <c r="K61" t="s">
        <v>54</v>
      </c>
      <c r="L61" t="s">
        <v>334</v>
      </c>
      <c r="M61" s="2">
        <v>1799</v>
      </c>
      <c r="N61">
        <v>1</v>
      </c>
      <c r="O61" s="2">
        <v>1799</v>
      </c>
      <c r="P61" t="s">
        <v>29</v>
      </c>
      <c r="Q61">
        <v>0</v>
      </c>
      <c r="R61" s="4">
        <f>IFERROR(Data_Analyst_Intern_Nikhil_Kumar_February2026[[#This Row],[Total]]/Data_Analyst_Intern_Nikhil_Kumar_February2026[[#This Row],[Discount(%)]],0)</f>
        <v>0</v>
      </c>
      <c r="S61" s="2">
        <f>Data_Analyst_Intern_Nikhil_Kumar_February2026[[#This Row],[Total]]-Data_Analyst_Intern_Nikhil_Kumar_February2026[[#This Row],[Discount Amount]]</f>
        <v>1799</v>
      </c>
      <c r="T61" t="s">
        <v>56</v>
      </c>
      <c r="U61" t="s">
        <v>31</v>
      </c>
      <c r="V61" t="s">
        <v>46</v>
      </c>
      <c r="W61" t="s">
        <v>46</v>
      </c>
      <c r="X61" t="s">
        <v>46</v>
      </c>
      <c r="Y61" s="1"/>
      <c r="Z61" s="1">
        <f>Data_Analyst_Intern_Nikhil_Kumar_February2026[[#This Row],[Del Date]]-Data_Analyst_Intern_Nikhil_Kumar_February2026[[#This Row],[Order Date]]</f>
        <v>-45580</v>
      </c>
      <c r="AA61" s="1" t="str" cm="1">
        <f t="array" ref="AA61">_xlfn.IFS(Data_Analyst_Intern_Nikhil_Kumar_February2026[[#This Row],[Del Days]]&lt;=7,"Fast",Data_Analyst_Intern_Nikhil_Kumar_February2026[[#This Row],[Del Days]]&lt;=15,"Standard",Data_Analyst_Intern_Nikhil_Kumar_February2026[[#This Row],[Del Days]]&gt;15,"Slow")</f>
        <v>Fast</v>
      </c>
      <c r="AB61" t="s">
        <v>121</v>
      </c>
      <c r="AC61">
        <f>IF(Data_Analyst_Intern_Nikhil_Kumar_February2026[[#This Row],[Status]]="RTO", 1,0)</f>
        <v>1</v>
      </c>
      <c r="AD61">
        <f>IF(Data_Analyst_Intern_Nikhil_Kumar_February2026[[#This Row],[Status]]="Delivered",1,0)</f>
        <v>0</v>
      </c>
      <c r="AE61" t="s">
        <v>35</v>
      </c>
      <c r="AF61">
        <f>IF(AND(Data_Analyst_Intern_Nikhil_Kumar_February2026[[#This Row],[Status]]="Delivered",Data_Analyst_Intern_Nikhil_Kumar_February2026[[#This Row],[Return?]]="Yes"),1,0)</f>
        <v>0</v>
      </c>
      <c r="AG61" t="s">
        <v>29</v>
      </c>
      <c r="AI61" t="s">
        <v>36</v>
      </c>
    </row>
    <row r="62" spans="1:35" x14ac:dyDescent="0.3">
      <c r="A62" t="s">
        <v>335</v>
      </c>
      <c r="B62" s="1">
        <v>45580</v>
      </c>
      <c r="C62" s="1" t="str">
        <f>TEXT(Data_Analyst_Intern_Nikhil_Kumar_February2026[[#This Row],[Order Date]], "mmmm")</f>
        <v>October</v>
      </c>
      <c r="D62" s="23">
        <f>WEEKNUM(Data_Analyst_Intern_Nikhil_Kumar_February2026[[#This Row],[Order Date]],2)</f>
        <v>42</v>
      </c>
      <c r="E62" s="23" t="str">
        <f>TEXT(Data_Analyst_Intern_Nikhil_Kumar_February2026[[#This Row],[Order Date]],"dddd")</f>
        <v>Tuesday</v>
      </c>
      <c r="F62" s="1">
        <v>45579</v>
      </c>
      <c r="G62" s="23" t="str">
        <f>TEXT(WEEKDAY(Data_Analyst_Intern_Nikhil_Kumar_February2026[[#This Row],[Order Date]],2), "dddd")</f>
        <v>Monday</v>
      </c>
      <c r="H62" t="s">
        <v>336</v>
      </c>
      <c r="I62" t="s">
        <v>25</v>
      </c>
      <c r="J62" t="s">
        <v>337</v>
      </c>
      <c r="K62" t="s">
        <v>41</v>
      </c>
      <c r="L62" t="s">
        <v>338</v>
      </c>
      <c r="M62" s="2">
        <v>2199</v>
      </c>
      <c r="N62">
        <v>1</v>
      </c>
      <c r="O62" s="2">
        <v>2199</v>
      </c>
      <c r="P62" t="s">
        <v>43</v>
      </c>
      <c r="Q62">
        <v>20</v>
      </c>
      <c r="R62" s="4">
        <f>IFERROR(Data_Analyst_Intern_Nikhil_Kumar_February2026[[#This Row],[Total]]/Data_Analyst_Intern_Nikhil_Kumar_February2026[[#This Row],[Discount(%)]],0)</f>
        <v>109.95</v>
      </c>
      <c r="S62" s="2">
        <f>Data_Analyst_Intern_Nikhil_Kumar_February2026[[#This Row],[Total]]-Data_Analyst_Intern_Nikhil_Kumar_February2026[[#This Row],[Discount Amount]]</f>
        <v>2089.0500000000002</v>
      </c>
      <c r="T62" t="s">
        <v>65</v>
      </c>
      <c r="U62" t="s">
        <v>66</v>
      </c>
      <c r="V62" t="s">
        <v>91</v>
      </c>
      <c r="W62" t="s">
        <v>92</v>
      </c>
      <c r="X62" t="s">
        <v>46</v>
      </c>
      <c r="Y62" s="1">
        <v>45591</v>
      </c>
      <c r="Z62" s="3">
        <f>Data_Analyst_Intern_Nikhil_Kumar_February2026[[#This Row],[Del Date]]-Data_Analyst_Intern_Nikhil_Kumar_February2026[[#This Row],[Order Date]]</f>
        <v>11</v>
      </c>
      <c r="AA62" s="3" t="str" cm="1">
        <f t="array" ref="AA62">_xlfn.IFS(Data_Analyst_Intern_Nikhil_Kumar_February2026[[#This Row],[Del Days]]&lt;=7,"Fast",Data_Analyst_Intern_Nikhil_Kumar_February2026[[#This Row],[Del Days]]&lt;=15,"Standard",Data_Analyst_Intern_Nikhil_Kumar_February2026[[#This Row],[Del Days]]&gt;15,"Slow")</f>
        <v>Standard</v>
      </c>
      <c r="AB62" t="s">
        <v>34</v>
      </c>
      <c r="AC62">
        <f>IF(Data_Analyst_Intern_Nikhil_Kumar_February2026[[#This Row],[Status]]="RTO", 1,0)</f>
        <v>0</v>
      </c>
      <c r="AD62">
        <f>IF(Data_Analyst_Intern_Nikhil_Kumar_February2026[[#This Row],[Status]]="Delivered",1,0)</f>
        <v>1</v>
      </c>
      <c r="AE62" t="s">
        <v>47</v>
      </c>
      <c r="AF62">
        <f>IF(AND(Data_Analyst_Intern_Nikhil_Kumar_February2026[[#This Row],[Status]]="Delivered",Data_Analyst_Intern_Nikhil_Kumar_February2026[[#This Row],[Return?]]="Yes"),1,0)</f>
        <v>1</v>
      </c>
      <c r="AG62" t="s">
        <v>48</v>
      </c>
      <c r="AH62" s="1">
        <v>45618</v>
      </c>
      <c r="AI62" t="s">
        <v>49</v>
      </c>
    </row>
    <row r="63" spans="1:35" x14ac:dyDescent="0.3">
      <c r="A63" t="s">
        <v>339</v>
      </c>
      <c r="B63" s="1">
        <v>45580</v>
      </c>
      <c r="C63" s="1" t="str">
        <f>TEXT(Data_Analyst_Intern_Nikhil_Kumar_February2026[[#This Row],[Order Date]], "mmmm")</f>
        <v>October</v>
      </c>
      <c r="D63" s="23">
        <f>WEEKNUM(Data_Analyst_Intern_Nikhil_Kumar_February2026[[#This Row],[Order Date]],2)</f>
        <v>42</v>
      </c>
      <c r="E63" s="23" t="str">
        <f>TEXT(Data_Analyst_Intern_Nikhil_Kumar_February2026[[#This Row],[Order Date]],"dddd")</f>
        <v>Tuesday</v>
      </c>
      <c r="F63" s="1">
        <v>45579</v>
      </c>
      <c r="G63" s="23" t="str">
        <f>TEXT(WEEKDAY(Data_Analyst_Intern_Nikhil_Kumar_February2026[[#This Row],[Order Date]],2), "dddd")</f>
        <v>Monday</v>
      </c>
      <c r="H63" t="s">
        <v>340</v>
      </c>
      <c r="I63" t="s">
        <v>39</v>
      </c>
      <c r="J63" t="s">
        <v>341</v>
      </c>
      <c r="K63" t="s">
        <v>27</v>
      </c>
      <c r="L63" t="s">
        <v>342</v>
      </c>
      <c r="M63" s="2">
        <v>1399</v>
      </c>
      <c r="N63">
        <v>1</v>
      </c>
      <c r="O63" s="2">
        <v>1399</v>
      </c>
      <c r="P63" t="s">
        <v>29</v>
      </c>
      <c r="Q63">
        <v>0</v>
      </c>
      <c r="R63" s="4">
        <f>IFERROR(Data_Analyst_Intern_Nikhil_Kumar_February2026[[#This Row],[Total]]/Data_Analyst_Intern_Nikhil_Kumar_February2026[[#This Row],[Discount(%)]],0)</f>
        <v>0</v>
      </c>
      <c r="S63" s="2">
        <f>Data_Analyst_Intern_Nikhil_Kumar_February2026[[#This Row],[Total]]-Data_Analyst_Intern_Nikhil_Kumar_February2026[[#This Row],[Discount Amount]]</f>
        <v>1399</v>
      </c>
      <c r="T63" t="s">
        <v>30</v>
      </c>
      <c r="U63" t="s">
        <v>45</v>
      </c>
      <c r="V63" t="s">
        <v>67</v>
      </c>
      <c r="W63" t="s">
        <v>68</v>
      </c>
      <c r="X63" t="s">
        <v>57</v>
      </c>
      <c r="Y63" s="1">
        <v>45589</v>
      </c>
      <c r="Z63" s="3">
        <f>Data_Analyst_Intern_Nikhil_Kumar_February2026[[#This Row],[Del Date]]-Data_Analyst_Intern_Nikhil_Kumar_February2026[[#This Row],[Order Date]]</f>
        <v>9</v>
      </c>
      <c r="AA63" s="3" t="str" cm="1">
        <f t="array" ref="AA63">_xlfn.IFS(Data_Analyst_Intern_Nikhil_Kumar_February2026[[#This Row],[Del Days]]&lt;=7,"Fast",Data_Analyst_Intern_Nikhil_Kumar_February2026[[#This Row],[Del Days]]&lt;=15,"Standard",Data_Analyst_Intern_Nikhil_Kumar_February2026[[#This Row],[Del Days]]&gt;15,"Slow")</f>
        <v>Standard</v>
      </c>
      <c r="AB63" t="s">
        <v>34</v>
      </c>
      <c r="AC63">
        <f>IF(Data_Analyst_Intern_Nikhil_Kumar_February2026[[#This Row],[Status]]="RTO", 1,0)</f>
        <v>0</v>
      </c>
      <c r="AD63">
        <f>IF(Data_Analyst_Intern_Nikhil_Kumar_February2026[[#This Row],[Status]]="Delivered",1,0)</f>
        <v>1</v>
      </c>
      <c r="AE63" t="s">
        <v>35</v>
      </c>
      <c r="AF63">
        <f>IF(AND(Data_Analyst_Intern_Nikhil_Kumar_February2026[[#This Row],[Status]]="Delivered",Data_Analyst_Intern_Nikhil_Kumar_February2026[[#This Row],[Return?]]="Yes"),1,0)</f>
        <v>0</v>
      </c>
      <c r="AG63" t="s">
        <v>29</v>
      </c>
      <c r="AI63" t="s">
        <v>36</v>
      </c>
    </row>
    <row r="64" spans="1:35" x14ac:dyDescent="0.3">
      <c r="A64" t="s">
        <v>343</v>
      </c>
      <c r="B64" s="1">
        <v>45580</v>
      </c>
      <c r="C64" s="1" t="str">
        <f>TEXT(Data_Analyst_Intern_Nikhil_Kumar_February2026[[#This Row],[Order Date]], "mmmm")</f>
        <v>October</v>
      </c>
      <c r="D64" s="23">
        <f>WEEKNUM(Data_Analyst_Intern_Nikhil_Kumar_February2026[[#This Row],[Order Date]],2)</f>
        <v>42</v>
      </c>
      <c r="E64" s="23" t="str">
        <f>TEXT(Data_Analyst_Intern_Nikhil_Kumar_February2026[[#This Row],[Order Date]],"dddd")</f>
        <v>Tuesday</v>
      </c>
      <c r="F64" s="1">
        <v>45579</v>
      </c>
      <c r="G64" s="23" t="str">
        <f>TEXT(WEEKDAY(Data_Analyst_Intern_Nikhil_Kumar_February2026[[#This Row],[Order Date]],2), "dddd")</f>
        <v>Monday</v>
      </c>
      <c r="H64" t="s">
        <v>344</v>
      </c>
      <c r="I64" t="s">
        <v>25</v>
      </c>
      <c r="J64" t="s">
        <v>345</v>
      </c>
      <c r="K64" t="s">
        <v>62</v>
      </c>
      <c r="L64" t="s">
        <v>346</v>
      </c>
      <c r="M64" s="2">
        <v>2999</v>
      </c>
      <c r="N64">
        <v>1</v>
      </c>
      <c r="O64" s="2">
        <v>2999</v>
      </c>
      <c r="P64" t="s">
        <v>29</v>
      </c>
      <c r="Q64">
        <v>0</v>
      </c>
      <c r="R64" s="4">
        <f>IFERROR(Data_Analyst_Intern_Nikhil_Kumar_February2026[[#This Row],[Total]]/Data_Analyst_Intern_Nikhil_Kumar_February2026[[#This Row],[Discount(%)]],0)</f>
        <v>0</v>
      </c>
      <c r="S64" s="2">
        <f>Data_Analyst_Intern_Nikhil_Kumar_February2026[[#This Row],[Total]]-Data_Analyst_Intern_Nikhil_Kumar_February2026[[#This Row],[Discount Amount]]</f>
        <v>2999</v>
      </c>
      <c r="T64" t="s">
        <v>44</v>
      </c>
      <c r="U64" t="s">
        <v>31</v>
      </c>
      <c r="V64" t="s">
        <v>78</v>
      </c>
      <c r="W64" t="s">
        <v>79</v>
      </c>
      <c r="X64" t="s">
        <v>57</v>
      </c>
      <c r="Y64" s="1">
        <v>45592</v>
      </c>
      <c r="Z64" s="3">
        <f>Data_Analyst_Intern_Nikhil_Kumar_February2026[[#This Row],[Del Date]]-Data_Analyst_Intern_Nikhil_Kumar_February2026[[#This Row],[Order Date]]</f>
        <v>12</v>
      </c>
      <c r="AA64" s="3" t="str" cm="1">
        <f t="array" ref="AA64">_xlfn.IFS(Data_Analyst_Intern_Nikhil_Kumar_February2026[[#This Row],[Del Days]]&lt;=7,"Fast",Data_Analyst_Intern_Nikhil_Kumar_February2026[[#This Row],[Del Days]]&lt;=15,"Standard",Data_Analyst_Intern_Nikhil_Kumar_February2026[[#This Row],[Del Days]]&gt;15,"Slow")</f>
        <v>Standard</v>
      </c>
      <c r="AB64" t="s">
        <v>34</v>
      </c>
      <c r="AC64">
        <f>IF(Data_Analyst_Intern_Nikhil_Kumar_February2026[[#This Row],[Status]]="RTO", 1,0)</f>
        <v>0</v>
      </c>
      <c r="AD64">
        <f>IF(Data_Analyst_Intern_Nikhil_Kumar_February2026[[#This Row],[Status]]="Delivered",1,0)</f>
        <v>1</v>
      </c>
      <c r="AE64" t="s">
        <v>47</v>
      </c>
      <c r="AF64">
        <f>IF(AND(Data_Analyst_Intern_Nikhil_Kumar_February2026[[#This Row],[Status]]="Delivered",Data_Analyst_Intern_Nikhil_Kumar_February2026[[#This Row],[Return?]]="Yes"),1,0)</f>
        <v>1</v>
      </c>
      <c r="AG64" t="s">
        <v>69</v>
      </c>
      <c r="AH64" s="1">
        <v>45620</v>
      </c>
      <c r="AI64" t="s">
        <v>49</v>
      </c>
    </row>
    <row r="65" spans="1:35" x14ac:dyDescent="0.3">
      <c r="A65" t="s">
        <v>347</v>
      </c>
      <c r="B65" s="1">
        <v>45581</v>
      </c>
      <c r="C65" s="1" t="str">
        <f>TEXT(Data_Analyst_Intern_Nikhil_Kumar_February2026[[#This Row],[Order Date]], "mmmm")</f>
        <v>October</v>
      </c>
      <c r="D65" s="23">
        <f>WEEKNUM(Data_Analyst_Intern_Nikhil_Kumar_February2026[[#This Row],[Order Date]],2)</f>
        <v>42</v>
      </c>
      <c r="E65" s="23" t="str">
        <f>TEXT(Data_Analyst_Intern_Nikhil_Kumar_February2026[[#This Row],[Order Date]],"dddd")</f>
        <v>Wednesday</v>
      </c>
      <c r="F65" s="1">
        <v>45579</v>
      </c>
      <c r="G65" s="23" t="str">
        <f>TEXT(WEEKDAY(Data_Analyst_Intern_Nikhil_Kumar_February2026[[#This Row],[Order Date]],2), "dddd")</f>
        <v>Tuesday</v>
      </c>
      <c r="H65" t="s">
        <v>348</v>
      </c>
      <c r="I65" t="s">
        <v>25</v>
      </c>
      <c r="J65" t="s">
        <v>349</v>
      </c>
      <c r="K65" t="s">
        <v>72</v>
      </c>
      <c r="L65" t="s">
        <v>350</v>
      </c>
      <c r="M65" s="2">
        <v>699</v>
      </c>
      <c r="N65">
        <v>2</v>
      </c>
      <c r="O65" s="2">
        <v>1398</v>
      </c>
      <c r="P65" t="s">
        <v>111</v>
      </c>
      <c r="Q65">
        <v>10</v>
      </c>
      <c r="R65" s="4">
        <f>IFERROR(Data_Analyst_Intern_Nikhil_Kumar_February2026[[#This Row],[Total]]/Data_Analyst_Intern_Nikhil_Kumar_February2026[[#This Row],[Discount(%)]],0)</f>
        <v>139.80000000000001</v>
      </c>
      <c r="S65" s="2">
        <f>Data_Analyst_Intern_Nikhil_Kumar_February2026[[#This Row],[Total]]-Data_Analyst_Intern_Nikhil_Kumar_February2026[[#This Row],[Discount Amount]]</f>
        <v>1258.2</v>
      </c>
      <c r="T65" t="s">
        <v>112</v>
      </c>
      <c r="U65" t="s">
        <v>66</v>
      </c>
      <c r="V65" t="s">
        <v>85</v>
      </c>
      <c r="W65" t="s">
        <v>33</v>
      </c>
      <c r="X65" t="s">
        <v>32</v>
      </c>
      <c r="Y65" s="1">
        <v>45590</v>
      </c>
      <c r="Z65" s="3">
        <f>Data_Analyst_Intern_Nikhil_Kumar_February2026[[#This Row],[Del Date]]-Data_Analyst_Intern_Nikhil_Kumar_February2026[[#This Row],[Order Date]]</f>
        <v>9</v>
      </c>
      <c r="AA65" s="3" t="str" cm="1">
        <f t="array" ref="AA65">_xlfn.IFS(Data_Analyst_Intern_Nikhil_Kumar_February2026[[#This Row],[Del Days]]&lt;=7,"Fast",Data_Analyst_Intern_Nikhil_Kumar_February2026[[#This Row],[Del Days]]&lt;=15,"Standard",Data_Analyst_Intern_Nikhil_Kumar_February2026[[#This Row],[Del Days]]&gt;15,"Slow")</f>
        <v>Standard</v>
      </c>
      <c r="AB65" t="s">
        <v>34</v>
      </c>
      <c r="AC65">
        <f>IF(Data_Analyst_Intern_Nikhil_Kumar_February2026[[#This Row],[Status]]="RTO", 1,0)</f>
        <v>0</v>
      </c>
      <c r="AD65">
        <f>IF(Data_Analyst_Intern_Nikhil_Kumar_February2026[[#This Row],[Status]]="Delivered",1,0)</f>
        <v>1</v>
      </c>
      <c r="AE65" t="s">
        <v>35</v>
      </c>
      <c r="AF65">
        <f>IF(AND(Data_Analyst_Intern_Nikhil_Kumar_February2026[[#This Row],[Status]]="Delivered",Data_Analyst_Intern_Nikhil_Kumar_February2026[[#This Row],[Return?]]="Yes"),1,0)</f>
        <v>0</v>
      </c>
      <c r="AG65" t="s">
        <v>29</v>
      </c>
      <c r="AI65" t="s">
        <v>36</v>
      </c>
    </row>
    <row r="66" spans="1:35" x14ac:dyDescent="0.3">
      <c r="A66" t="s">
        <v>351</v>
      </c>
      <c r="B66" s="1">
        <v>45581</v>
      </c>
      <c r="C66" s="1" t="str">
        <f>TEXT(Data_Analyst_Intern_Nikhil_Kumar_February2026[[#This Row],[Order Date]], "mmmm")</f>
        <v>October</v>
      </c>
      <c r="D66" s="23">
        <f>WEEKNUM(Data_Analyst_Intern_Nikhil_Kumar_February2026[[#This Row],[Order Date]],2)</f>
        <v>42</v>
      </c>
      <c r="E66" s="23" t="str">
        <f>TEXT(Data_Analyst_Intern_Nikhil_Kumar_February2026[[#This Row],[Order Date]],"dddd")</f>
        <v>Wednesday</v>
      </c>
      <c r="F66" s="1">
        <v>45579</v>
      </c>
      <c r="G66" s="23" t="str">
        <f>TEXT(WEEKDAY(Data_Analyst_Intern_Nikhil_Kumar_February2026[[#This Row],[Order Date]],2), "dddd")</f>
        <v>Tuesday</v>
      </c>
      <c r="H66" t="s">
        <v>352</v>
      </c>
      <c r="I66" t="s">
        <v>25</v>
      </c>
      <c r="J66" t="s">
        <v>353</v>
      </c>
      <c r="K66" t="s">
        <v>54</v>
      </c>
      <c r="L66" t="s">
        <v>354</v>
      </c>
      <c r="M66" s="2">
        <v>2199</v>
      </c>
      <c r="N66">
        <v>1</v>
      </c>
      <c r="O66" s="2">
        <v>2199</v>
      </c>
      <c r="P66" t="s">
        <v>29</v>
      </c>
      <c r="Q66">
        <v>0</v>
      </c>
      <c r="R66" s="4">
        <f>IFERROR(Data_Analyst_Intern_Nikhil_Kumar_February2026[[#This Row],[Total]]/Data_Analyst_Intern_Nikhil_Kumar_February2026[[#This Row],[Discount(%)]],0)</f>
        <v>0</v>
      </c>
      <c r="S66" s="2">
        <f>Data_Analyst_Intern_Nikhil_Kumar_February2026[[#This Row],[Total]]-Data_Analyst_Intern_Nikhil_Kumar_February2026[[#This Row],[Discount Amount]]</f>
        <v>2199</v>
      </c>
      <c r="T66" t="s">
        <v>56</v>
      </c>
      <c r="U66" t="s">
        <v>45</v>
      </c>
      <c r="V66" t="s">
        <v>97</v>
      </c>
      <c r="W66" t="s">
        <v>98</v>
      </c>
      <c r="X66" t="s">
        <v>32</v>
      </c>
      <c r="Y66" s="1">
        <v>45593</v>
      </c>
      <c r="Z66" s="3">
        <f>Data_Analyst_Intern_Nikhil_Kumar_February2026[[#This Row],[Del Date]]-Data_Analyst_Intern_Nikhil_Kumar_February2026[[#This Row],[Order Date]]</f>
        <v>12</v>
      </c>
      <c r="AA66" s="3" t="str" cm="1">
        <f t="array" ref="AA66">_xlfn.IFS(Data_Analyst_Intern_Nikhil_Kumar_February2026[[#This Row],[Del Days]]&lt;=7,"Fast",Data_Analyst_Intern_Nikhil_Kumar_February2026[[#This Row],[Del Days]]&lt;=15,"Standard",Data_Analyst_Intern_Nikhil_Kumar_February2026[[#This Row],[Del Days]]&gt;15,"Slow")</f>
        <v>Standard</v>
      </c>
      <c r="AB66" t="s">
        <v>34</v>
      </c>
      <c r="AC66">
        <f>IF(Data_Analyst_Intern_Nikhil_Kumar_February2026[[#This Row],[Status]]="RTO", 1,0)</f>
        <v>0</v>
      </c>
      <c r="AD66">
        <f>IF(Data_Analyst_Intern_Nikhil_Kumar_February2026[[#This Row],[Status]]="Delivered",1,0)</f>
        <v>1</v>
      </c>
      <c r="AE66" t="s">
        <v>47</v>
      </c>
      <c r="AF66">
        <f>IF(AND(Data_Analyst_Intern_Nikhil_Kumar_February2026[[#This Row],[Status]]="Delivered",Data_Analyst_Intern_Nikhil_Kumar_February2026[[#This Row],[Return?]]="Yes"),1,0)</f>
        <v>1</v>
      </c>
      <c r="AG66" t="s">
        <v>48</v>
      </c>
      <c r="AH66" s="1">
        <v>45621</v>
      </c>
      <c r="AI66" t="s">
        <v>49</v>
      </c>
    </row>
    <row r="67" spans="1:35" x14ac:dyDescent="0.3">
      <c r="A67" t="s">
        <v>355</v>
      </c>
      <c r="B67" s="1">
        <v>45581</v>
      </c>
      <c r="C67" s="1" t="str">
        <f>TEXT(Data_Analyst_Intern_Nikhil_Kumar_February2026[[#This Row],[Order Date]], "mmmm")</f>
        <v>October</v>
      </c>
      <c r="D67" s="23">
        <f>WEEKNUM(Data_Analyst_Intern_Nikhil_Kumar_February2026[[#This Row],[Order Date]],2)</f>
        <v>42</v>
      </c>
      <c r="E67" s="23" t="str">
        <f>TEXT(Data_Analyst_Intern_Nikhil_Kumar_February2026[[#This Row],[Order Date]],"dddd")</f>
        <v>Wednesday</v>
      </c>
      <c r="F67" s="1">
        <v>45579</v>
      </c>
      <c r="G67" s="23" t="str">
        <f>TEXT(WEEKDAY(Data_Analyst_Intern_Nikhil_Kumar_February2026[[#This Row],[Order Date]],2), "dddd")</f>
        <v>Tuesday</v>
      </c>
      <c r="H67" t="s">
        <v>356</v>
      </c>
      <c r="I67" t="s">
        <v>39</v>
      </c>
      <c r="J67" t="s">
        <v>357</v>
      </c>
      <c r="K67" t="s">
        <v>41</v>
      </c>
      <c r="L67" t="s">
        <v>358</v>
      </c>
      <c r="M67" s="2">
        <v>2499</v>
      </c>
      <c r="N67">
        <v>1</v>
      </c>
      <c r="O67" s="2">
        <v>2499</v>
      </c>
      <c r="P67" t="s">
        <v>29</v>
      </c>
      <c r="Q67">
        <v>0</v>
      </c>
      <c r="R67" s="4">
        <f>IFERROR(Data_Analyst_Intern_Nikhil_Kumar_February2026[[#This Row],[Total]]/Data_Analyst_Intern_Nikhil_Kumar_February2026[[#This Row],[Discount(%)]],0)</f>
        <v>0</v>
      </c>
      <c r="S67" s="2">
        <f>Data_Analyst_Intern_Nikhil_Kumar_February2026[[#This Row],[Total]]-Data_Analyst_Intern_Nikhil_Kumar_February2026[[#This Row],[Discount Amount]]</f>
        <v>2499</v>
      </c>
      <c r="T67" t="s">
        <v>44</v>
      </c>
      <c r="U67" t="s">
        <v>31</v>
      </c>
      <c r="V67" t="s">
        <v>103</v>
      </c>
      <c r="W67" t="s">
        <v>104</v>
      </c>
      <c r="X67" t="s">
        <v>46</v>
      </c>
      <c r="Y67" s="1">
        <v>45591</v>
      </c>
      <c r="Z67" s="3">
        <f>Data_Analyst_Intern_Nikhil_Kumar_February2026[[#This Row],[Del Date]]-Data_Analyst_Intern_Nikhil_Kumar_February2026[[#This Row],[Order Date]]</f>
        <v>10</v>
      </c>
      <c r="AA67" s="3" t="str" cm="1">
        <f t="array" ref="AA67">_xlfn.IFS(Data_Analyst_Intern_Nikhil_Kumar_February2026[[#This Row],[Del Days]]&lt;=7,"Fast",Data_Analyst_Intern_Nikhil_Kumar_February2026[[#This Row],[Del Days]]&lt;=15,"Standard",Data_Analyst_Intern_Nikhil_Kumar_February2026[[#This Row],[Del Days]]&gt;15,"Slow")</f>
        <v>Standard</v>
      </c>
      <c r="AB67" t="s">
        <v>34</v>
      </c>
      <c r="AC67">
        <f>IF(Data_Analyst_Intern_Nikhil_Kumar_February2026[[#This Row],[Status]]="RTO", 1,0)</f>
        <v>0</v>
      </c>
      <c r="AD67">
        <f>IF(Data_Analyst_Intern_Nikhil_Kumar_February2026[[#This Row],[Status]]="Delivered",1,0)</f>
        <v>1</v>
      </c>
      <c r="AE67" t="s">
        <v>35</v>
      </c>
      <c r="AF67">
        <f>IF(AND(Data_Analyst_Intern_Nikhil_Kumar_February2026[[#This Row],[Status]]="Delivered",Data_Analyst_Intern_Nikhil_Kumar_February2026[[#This Row],[Return?]]="Yes"),1,0)</f>
        <v>0</v>
      </c>
      <c r="AG67" t="s">
        <v>29</v>
      </c>
      <c r="AI67" t="s">
        <v>36</v>
      </c>
    </row>
    <row r="68" spans="1:35" x14ac:dyDescent="0.3">
      <c r="A68" t="s">
        <v>359</v>
      </c>
      <c r="B68" s="1">
        <v>45581</v>
      </c>
      <c r="C68" s="1" t="str">
        <f>TEXT(Data_Analyst_Intern_Nikhil_Kumar_February2026[[#This Row],[Order Date]], "mmmm")</f>
        <v>October</v>
      </c>
      <c r="D68" s="23">
        <f>WEEKNUM(Data_Analyst_Intern_Nikhil_Kumar_February2026[[#This Row],[Order Date]],2)</f>
        <v>42</v>
      </c>
      <c r="E68" s="23" t="str">
        <f>TEXT(Data_Analyst_Intern_Nikhil_Kumar_February2026[[#This Row],[Order Date]],"dddd")</f>
        <v>Wednesday</v>
      </c>
      <c r="F68" s="1">
        <v>45579</v>
      </c>
      <c r="G68" s="23" t="str">
        <f>TEXT(WEEKDAY(Data_Analyst_Intern_Nikhil_Kumar_February2026[[#This Row],[Order Date]],2), "dddd")</f>
        <v>Tuesday</v>
      </c>
      <c r="H68" t="s">
        <v>360</v>
      </c>
      <c r="I68" t="s">
        <v>25</v>
      </c>
      <c r="J68" t="s">
        <v>361</v>
      </c>
      <c r="K68" t="s">
        <v>27</v>
      </c>
      <c r="L68" t="s">
        <v>362</v>
      </c>
      <c r="M68" s="2">
        <v>1899</v>
      </c>
      <c r="N68">
        <v>1</v>
      </c>
      <c r="O68" s="2">
        <v>1899</v>
      </c>
      <c r="P68" t="s">
        <v>43</v>
      </c>
      <c r="Q68">
        <v>20</v>
      </c>
      <c r="R68" s="4">
        <f>IFERROR(Data_Analyst_Intern_Nikhil_Kumar_February2026[[#This Row],[Total]]/Data_Analyst_Intern_Nikhil_Kumar_February2026[[#This Row],[Discount(%)]],0)</f>
        <v>94.95</v>
      </c>
      <c r="S68" s="2">
        <f>Data_Analyst_Intern_Nikhil_Kumar_February2026[[#This Row],[Total]]-Data_Analyst_Intern_Nikhil_Kumar_February2026[[#This Row],[Discount Amount]]</f>
        <v>1804.05</v>
      </c>
      <c r="T68" t="s">
        <v>30</v>
      </c>
      <c r="U68" t="s">
        <v>66</v>
      </c>
      <c r="V68" t="s">
        <v>113</v>
      </c>
      <c r="W68" t="s">
        <v>114</v>
      </c>
      <c r="X68" t="s">
        <v>46</v>
      </c>
      <c r="Y68" s="1">
        <v>45592</v>
      </c>
      <c r="Z68" s="3">
        <f>Data_Analyst_Intern_Nikhil_Kumar_February2026[[#This Row],[Del Date]]-Data_Analyst_Intern_Nikhil_Kumar_February2026[[#This Row],[Order Date]]</f>
        <v>11</v>
      </c>
      <c r="AA68" s="3" t="str" cm="1">
        <f t="array" ref="AA68">_xlfn.IFS(Data_Analyst_Intern_Nikhil_Kumar_February2026[[#This Row],[Del Days]]&lt;=7,"Fast",Data_Analyst_Intern_Nikhil_Kumar_February2026[[#This Row],[Del Days]]&lt;=15,"Standard",Data_Analyst_Intern_Nikhil_Kumar_February2026[[#This Row],[Del Days]]&gt;15,"Slow")</f>
        <v>Standard</v>
      </c>
      <c r="AB68" t="s">
        <v>34</v>
      </c>
      <c r="AC68">
        <f>IF(Data_Analyst_Intern_Nikhil_Kumar_February2026[[#This Row],[Status]]="RTO", 1,0)</f>
        <v>0</v>
      </c>
      <c r="AD68">
        <f>IF(Data_Analyst_Intern_Nikhil_Kumar_February2026[[#This Row],[Status]]="Delivered",1,0)</f>
        <v>1</v>
      </c>
      <c r="AE68" t="s">
        <v>47</v>
      </c>
      <c r="AF68">
        <f>IF(AND(Data_Analyst_Intern_Nikhil_Kumar_February2026[[#This Row],[Status]]="Delivered",Data_Analyst_Intern_Nikhil_Kumar_February2026[[#This Row],[Return?]]="Yes"),1,0)</f>
        <v>1</v>
      </c>
      <c r="AG68" t="s">
        <v>80</v>
      </c>
      <c r="AH68" s="1">
        <v>45616</v>
      </c>
      <c r="AI68" t="s">
        <v>49</v>
      </c>
    </row>
    <row r="69" spans="1:35" x14ac:dyDescent="0.3">
      <c r="A69" t="s">
        <v>363</v>
      </c>
      <c r="B69" s="1">
        <v>45582</v>
      </c>
      <c r="C69" s="1" t="str">
        <f>TEXT(Data_Analyst_Intern_Nikhil_Kumar_February2026[[#This Row],[Order Date]], "mmmm")</f>
        <v>October</v>
      </c>
      <c r="D69" s="23">
        <f>WEEKNUM(Data_Analyst_Intern_Nikhil_Kumar_February2026[[#This Row],[Order Date]],2)</f>
        <v>42</v>
      </c>
      <c r="E69" s="23" t="str">
        <f>TEXT(Data_Analyst_Intern_Nikhil_Kumar_February2026[[#This Row],[Order Date]],"dddd")</f>
        <v>Thursday</v>
      </c>
      <c r="F69" s="1">
        <v>45579</v>
      </c>
      <c r="G69" s="23" t="str">
        <f>TEXT(WEEKDAY(Data_Analyst_Intern_Nikhil_Kumar_February2026[[#This Row],[Order Date]],2), "dddd")</f>
        <v>Wednesday</v>
      </c>
      <c r="H69" t="s">
        <v>364</v>
      </c>
      <c r="I69" t="s">
        <v>25</v>
      </c>
      <c r="J69" t="s">
        <v>365</v>
      </c>
      <c r="K69" t="s">
        <v>62</v>
      </c>
      <c r="L69" t="s">
        <v>366</v>
      </c>
      <c r="M69" s="2">
        <v>1299</v>
      </c>
      <c r="N69">
        <v>1</v>
      </c>
      <c r="O69" s="2">
        <v>1299</v>
      </c>
      <c r="P69" t="s">
        <v>29</v>
      </c>
      <c r="Q69">
        <v>0</v>
      </c>
      <c r="R69" s="4">
        <f>IFERROR(Data_Analyst_Intern_Nikhil_Kumar_February2026[[#This Row],[Total]]/Data_Analyst_Intern_Nikhil_Kumar_February2026[[#This Row],[Discount(%)]],0)</f>
        <v>0</v>
      </c>
      <c r="S69" s="2">
        <f>Data_Analyst_Intern_Nikhil_Kumar_February2026[[#This Row],[Total]]-Data_Analyst_Intern_Nikhil_Kumar_February2026[[#This Row],[Discount Amount]]</f>
        <v>1299</v>
      </c>
      <c r="T69" t="s">
        <v>65</v>
      </c>
      <c r="U69" t="s">
        <v>45</v>
      </c>
      <c r="V69" t="s">
        <v>57</v>
      </c>
      <c r="W69" t="s">
        <v>58</v>
      </c>
      <c r="X69" t="s">
        <v>57</v>
      </c>
      <c r="Y69" s="1">
        <v>45593</v>
      </c>
      <c r="Z69" s="3">
        <f>Data_Analyst_Intern_Nikhil_Kumar_February2026[[#This Row],[Del Date]]-Data_Analyst_Intern_Nikhil_Kumar_February2026[[#This Row],[Order Date]]</f>
        <v>11</v>
      </c>
      <c r="AA69" s="3" t="str" cm="1">
        <f t="array" ref="AA69">_xlfn.IFS(Data_Analyst_Intern_Nikhil_Kumar_February2026[[#This Row],[Del Days]]&lt;=7,"Fast",Data_Analyst_Intern_Nikhil_Kumar_February2026[[#This Row],[Del Days]]&lt;=15,"Standard",Data_Analyst_Intern_Nikhil_Kumar_February2026[[#This Row],[Del Days]]&gt;15,"Slow")</f>
        <v>Standard</v>
      </c>
      <c r="AB69" t="s">
        <v>34</v>
      </c>
      <c r="AC69">
        <f>IF(Data_Analyst_Intern_Nikhil_Kumar_February2026[[#This Row],[Status]]="RTO", 1,0)</f>
        <v>0</v>
      </c>
      <c r="AD69">
        <f>IF(Data_Analyst_Intern_Nikhil_Kumar_February2026[[#This Row],[Status]]="Delivered",1,0)</f>
        <v>1</v>
      </c>
      <c r="AE69" t="s">
        <v>35</v>
      </c>
      <c r="AF69">
        <f>IF(AND(Data_Analyst_Intern_Nikhil_Kumar_February2026[[#This Row],[Status]]="Delivered",Data_Analyst_Intern_Nikhil_Kumar_February2026[[#This Row],[Return?]]="Yes"),1,0)</f>
        <v>0</v>
      </c>
      <c r="AG69" t="s">
        <v>29</v>
      </c>
      <c r="AI69" t="s">
        <v>36</v>
      </c>
    </row>
    <row r="70" spans="1:35" x14ac:dyDescent="0.3">
      <c r="A70" t="s">
        <v>367</v>
      </c>
      <c r="B70" s="1">
        <v>45582</v>
      </c>
      <c r="C70" s="1" t="str">
        <f>TEXT(Data_Analyst_Intern_Nikhil_Kumar_February2026[[#This Row],[Order Date]], "mmmm")</f>
        <v>October</v>
      </c>
      <c r="D70" s="23">
        <f>WEEKNUM(Data_Analyst_Intern_Nikhil_Kumar_February2026[[#This Row],[Order Date]],2)</f>
        <v>42</v>
      </c>
      <c r="E70" s="23" t="str">
        <f>TEXT(Data_Analyst_Intern_Nikhil_Kumar_February2026[[#This Row],[Order Date]],"dddd")</f>
        <v>Thursday</v>
      </c>
      <c r="F70" s="1">
        <v>45579</v>
      </c>
      <c r="G70" s="23" t="str">
        <f>TEXT(WEEKDAY(Data_Analyst_Intern_Nikhil_Kumar_February2026[[#This Row],[Order Date]],2), "dddd")</f>
        <v>Wednesday</v>
      </c>
      <c r="H70" t="s">
        <v>368</v>
      </c>
      <c r="I70" t="s">
        <v>25</v>
      </c>
      <c r="J70" t="s">
        <v>369</v>
      </c>
      <c r="K70" t="s">
        <v>72</v>
      </c>
      <c r="L70" t="s">
        <v>370</v>
      </c>
      <c r="M70" s="2">
        <v>1599</v>
      </c>
      <c r="N70">
        <v>1</v>
      </c>
      <c r="O70" s="2">
        <v>1599</v>
      </c>
      <c r="P70" t="s">
        <v>29</v>
      </c>
      <c r="Q70">
        <v>0</v>
      </c>
      <c r="R70" s="4">
        <f>IFERROR(Data_Analyst_Intern_Nikhil_Kumar_February2026[[#This Row],[Total]]/Data_Analyst_Intern_Nikhil_Kumar_February2026[[#This Row],[Discount(%)]],0)</f>
        <v>0</v>
      </c>
      <c r="S70" s="2">
        <f>Data_Analyst_Intern_Nikhil_Kumar_February2026[[#This Row],[Total]]-Data_Analyst_Intern_Nikhil_Kumar_February2026[[#This Row],[Discount Amount]]</f>
        <v>1599</v>
      </c>
      <c r="T70" t="s">
        <v>44</v>
      </c>
      <c r="U70" t="s">
        <v>31</v>
      </c>
      <c r="V70" t="s">
        <v>32</v>
      </c>
      <c r="W70" t="s">
        <v>33</v>
      </c>
      <c r="X70" t="s">
        <v>32</v>
      </c>
      <c r="Y70" s="1">
        <v>45592</v>
      </c>
      <c r="Z70" s="3">
        <f>Data_Analyst_Intern_Nikhil_Kumar_February2026[[#This Row],[Del Date]]-Data_Analyst_Intern_Nikhil_Kumar_February2026[[#This Row],[Order Date]]</f>
        <v>10</v>
      </c>
      <c r="AA70" s="3" t="str" cm="1">
        <f t="array" ref="AA70">_xlfn.IFS(Data_Analyst_Intern_Nikhil_Kumar_February2026[[#This Row],[Del Days]]&lt;=7,"Fast",Data_Analyst_Intern_Nikhil_Kumar_February2026[[#This Row],[Del Days]]&lt;=15,"Standard",Data_Analyst_Intern_Nikhil_Kumar_February2026[[#This Row],[Del Days]]&gt;15,"Slow")</f>
        <v>Standard</v>
      </c>
      <c r="AB70" t="s">
        <v>34</v>
      </c>
      <c r="AC70">
        <f>IF(Data_Analyst_Intern_Nikhil_Kumar_February2026[[#This Row],[Status]]="RTO", 1,0)</f>
        <v>0</v>
      </c>
      <c r="AD70">
        <f>IF(Data_Analyst_Intern_Nikhil_Kumar_February2026[[#This Row],[Status]]="Delivered",1,0)</f>
        <v>1</v>
      </c>
      <c r="AE70" t="s">
        <v>47</v>
      </c>
      <c r="AF70">
        <f>IF(AND(Data_Analyst_Intern_Nikhil_Kumar_February2026[[#This Row],[Status]]="Delivered",Data_Analyst_Intern_Nikhil_Kumar_February2026[[#This Row],[Return?]]="Yes"),1,0)</f>
        <v>1</v>
      </c>
      <c r="AG70" t="s">
        <v>139</v>
      </c>
      <c r="AH70" s="1">
        <v>45618</v>
      </c>
      <c r="AI70" t="s">
        <v>49</v>
      </c>
    </row>
    <row r="71" spans="1:35" x14ac:dyDescent="0.3">
      <c r="A71" t="s">
        <v>371</v>
      </c>
      <c r="B71" s="1">
        <v>45582</v>
      </c>
      <c r="C71" s="1" t="str">
        <f>TEXT(Data_Analyst_Intern_Nikhil_Kumar_February2026[[#This Row],[Order Date]], "mmmm")</f>
        <v>October</v>
      </c>
      <c r="D71" s="23">
        <f>WEEKNUM(Data_Analyst_Intern_Nikhil_Kumar_February2026[[#This Row],[Order Date]],2)</f>
        <v>42</v>
      </c>
      <c r="E71" s="23" t="str">
        <f>TEXT(Data_Analyst_Intern_Nikhil_Kumar_February2026[[#This Row],[Order Date]],"dddd")</f>
        <v>Thursday</v>
      </c>
      <c r="F71" s="1">
        <v>45579</v>
      </c>
      <c r="G71" s="23" t="str">
        <f>TEXT(WEEKDAY(Data_Analyst_Intern_Nikhil_Kumar_February2026[[#This Row],[Order Date]],2), "dddd")</f>
        <v>Wednesday</v>
      </c>
      <c r="H71" t="s">
        <v>372</v>
      </c>
      <c r="I71" t="s">
        <v>39</v>
      </c>
      <c r="J71" t="s">
        <v>373</v>
      </c>
      <c r="K71" t="s">
        <v>54</v>
      </c>
      <c r="L71" t="s">
        <v>374</v>
      </c>
      <c r="M71" s="2">
        <v>2099</v>
      </c>
      <c r="N71">
        <v>1</v>
      </c>
      <c r="O71" s="2">
        <v>2099</v>
      </c>
      <c r="P71" t="s">
        <v>64</v>
      </c>
      <c r="Q71">
        <v>15</v>
      </c>
      <c r="R71" s="4">
        <f>IFERROR(Data_Analyst_Intern_Nikhil_Kumar_February2026[[#This Row],[Total]]/Data_Analyst_Intern_Nikhil_Kumar_February2026[[#This Row],[Discount(%)]],0)</f>
        <v>139.93333333333334</v>
      </c>
      <c r="S71" s="2">
        <f>Data_Analyst_Intern_Nikhil_Kumar_February2026[[#This Row],[Total]]-Data_Analyst_Intern_Nikhil_Kumar_February2026[[#This Row],[Discount Amount]]</f>
        <v>1959.0666666666666</v>
      </c>
      <c r="T71" t="s">
        <v>30</v>
      </c>
      <c r="U71" t="s">
        <v>66</v>
      </c>
      <c r="V71" t="s">
        <v>46</v>
      </c>
      <c r="W71" t="s">
        <v>46</v>
      </c>
      <c r="X71" t="s">
        <v>46</v>
      </c>
      <c r="Y71" s="1">
        <v>45594</v>
      </c>
      <c r="Z71" s="3">
        <f>Data_Analyst_Intern_Nikhil_Kumar_February2026[[#This Row],[Del Date]]-Data_Analyst_Intern_Nikhil_Kumar_February2026[[#This Row],[Order Date]]</f>
        <v>12</v>
      </c>
      <c r="AA71" s="3" t="str" cm="1">
        <f t="array" ref="AA71">_xlfn.IFS(Data_Analyst_Intern_Nikhil_Kumar_February2026[[#This Row],[Del Days]]&lt;=7,"Fast",Data_Analyst_Intern_Nikhil_Kumar_February2026[[#This Row],[Del Days]]&lt;=15,"Standard",Data_Analyst_Intern_Nikhil_Kumar_February2026[[#This Row],[Del Days]]&gt;15,"Slow")</f>
        <v>Standard</v>
      </c>
      <c r="AB71" t="s">
        <v>34</v>
      </c>
      <c r="AC71">
        <f>IF(Data_Analyst_Intern_Nikhil_Kumar_February2026[[#This Row],[Status]]="RTO", 1,0)</f>
        <v>0</v>
      </c>
      <c r="AD71">
        <f>IF(Data_Analyst_Intern_Nikhil_Kumar_February2026[[#This Row],[Status]]="Delivered",1,0)</f>
        <v>1</v>
      </c>
      <c r="AE71" t="s">
        <v>35</v>
      </c>
      <c r="AF71">
        <f>IF(AND(Data_Analyst_Intern_Nikhil_Kumar_February2026[[#This Row],[Status]]="Delivered",Data_Analyst_Intern_Nikhil_Kumar_February2026[[#This Row],[Return?]]="Yes"),1,0)</f>
        <v>0</v>
      </c>
      <c r="AG71" t="s">
        <v>29</v>
      </c>
      <c r="AI71" t="s">
        <v>36</v>
      </c>
    </row>
    <row r="72" spans="1:35" x14ac:dyDescent="0.3">
      <c r="A72" t="s">
        <v>375</v>
      </c>
      <c r="B72" s="1">
        <v>45582</v>
      </c>
      <c r="C72" s="1" t="str">
        <f>TEXT(Data_Analyst_Intern_Nikhil_Kumar_February2026[[#This Row],[Order Date]], "mmmm")</f>
        <v>October</v>
      </c>
      <c r="D72" s="23">
        <f>WEEKNUM(Data_Analyst_Intern_Nikhil_Kumar_February2026[[#This Row],[Order Date]],2)</f>
        <v>42</v>
      </c>
      <c r="E72" s="23" t="str">
        <f>TEXT(Data_Analyst_Intern_Nikhil_Kumar_February2026[[#This Row],[Order Date]],"dddd")</f>
        <v>Thursday</v>
      </c>
      <c r="F72" s="1">
        <v>45579</v>
      </c>
      <c r="G72" s="23" t="str">
        <f>TEXT(WEEKDAY(Data_Analyst_Intern_Nikhil_Kumar_February2026[[#This Row],[Order Date]],2), "dddd")</f>
        <v>Wednesday</v>
      </c>
      <c r="H72" t="s">
        <v>376</v>
      </c>
      <c r="I72" t="s">
        <v>25</v>
      </c>
      <c r="J72" t="s">
        <v>377</v>
      </c>
      <c r="K72" t="s">
        <v>41</v>
      </c>
      <c r="L72" t="s">
        <v>378</v>
      </c>
      <c r="M72" s="2">
        <v>2299</v>
      </c>
      <c r="N72">
        <v>1</v>
      </c>
      <c r="O72" s="2">
        <v>2299</v>
      </c>
      <c r="P72" t="s">
        <v>29</v>
      </c>
      <c r="Q72">
        <v>0</v>
      </c>
      <c r="R72" s="4">
        <f>IFERROR(Data_Analyst_Intern_Nikhil_Kumar_February2026[[#This Row],[Total]]/Data_Analyst_Intern_Nikhil_Kumar_February2026[[#This Row],[Discount(%)]],0)</f>
        <v>0</v>
      </c>
      <c r="S72" s="2">
        <f>Data_Analyst_Intern_Nikhil_Kumar_February2026[[#This Row],[Total]]-Data_Analyst_Intern_Nikhil_Kumar_February2026[[#This Row],[Discount Amount]]</f>
        <v>2299</v>
      </c>
      <c r="T72" t="s">
        <v>56</v>
      </c>
      <c r="U72" t="s">
        <v>45</v>
      </c>
      <c r="V72" t="s">
        <v>119</v>
      </c>
      <c r="W72" t="s">
        <v>120</v>
      </c>
      <c r="X72" t="s">
        <v>46</v>
      </c>
      <c r="Y72" s="1"/>
      <c r="Z72" s="1">
        <f>Data_Analyst_Intern_Nikhil_Kumar_February2026[[#This Row],[Del Date]]-Data_Analyst_Intern_Nikhil_Kumar_February2026[[#This Row],[Order Date]]</f>
        <v>-45582</v>
      </c>
      <c r="AA72" s="1" t="str" cm="1">
        <f t="array" ref="AA72">_xlfn.IFS(Data_Analyst_Intern_Nikhil_Kumar_February2026[[#This Row],[Del Days]]&lt;=7,"Fast",Data_Analyst_Intern_Nikhil_Kumar_February2026[[#This Row],[Del Days]]&lt;=15,"Standard",Data_Analyst_Intern_Nikhil_Kumar_February2026[[#This Row],[Del Days]]&gt;15,"Slow")</f>
        <v>Fast</v>
      </c>
      <c r="AB72" t="s">
        <v>121</v>
      </c>
      <c r="AC72">
        <f>IF(Data_Analyst_Intern_Nikhil_Kumar_February2026[[#This Row],[Status]]="RTO", 1,0)</f>
        <v>1</v>
      </c>
      <c r="AD72">
        <f>IF(Data_Analyst_Intern_Nikhil_Kumar_February2026[[#This Row],[Status]]="Delivered",1,0)</f>
        <v>0</v>
      </c>
      <c r="AE72" t="s">
        <v>35</v>
      </c>
      <c r="AF72">
        <f>IF(AND(Data_Analyst_Intern_Nikhil_Kumar_February2026[[#This Row],[Status]]="Delivered",Data_Analyst_Intern_Nikhil_Kumar_February2026[[#This Row],[Return?]]="Yes"),1,0)</f>
        <v>0</v>
      </c>
      <c r="AG72" t="s">
        <v>29</v>
      </c>
      <c r="AI72" t="s">
        <v>36</v>
      </c>
    </row>
    <row r="73" spans="1:35" x14ac:dyDescent="0.3">
      <c r="A73" t="s">
        <v>379</v>
      </c>
      <c r="B73" s="1">
        <v>45583</v>
      </c>
      <c r="C73" s="1" t="str">
        <f>TEXT(Data_Analyst_Intern_Nikhil_Kumar_February2026[[#This Row],[Order Date]], "mmmm")</f>
        <v>October</v>
      </c>
      <c r="D73" s="23">
        <f>WEEKNUM(Data_Analyst_Intern_Nikhil_Kumar_February2026[[#This Row],[Order Date]],2)</f>
        <v>42</v>
      </c>
      <c r="E73" s="23" t="str">
        <f>TEXT(Data_Analyst_Intern_Nikhil_Kumar_February2026[[#This Row],[Order Date]],"dddd")</f>
        <v>Friday</v>
      </c>
      <c r="F73" s="1">
        <v>45579</v>
      </c>
      <c r="G73" s="23" t="str">
        <f>TEXT(WEEKDAY(Data_Analyst_Intern_Nikhil_Kumar_February2026[[#This Row],[Order Date]],2), "dddd")</f>
        <v>Thursday</v>
      </c>
      <c r="H73" t="s">
        <v>380</v>
      </c>
      <c r="I73" t="s">
        <v>25</v>
      </c>
      <c r="J73" t="s">
        <v>381</v>
      </c>
      <c r="K73" t="s">
        <v>27</v>
      </c>
      <c r="L73" t="s">
        <v>382</v>
      </c>
      <c r="M73" s="2">
        <v>1199</v>
      </c>
      <c r="N73">
        <v>2</v>
      </c>
      <c r="O73" s="2">
        <v>2398</v>
      </c>
      <c r="P73" t="s">
        <v>29</v>
      </c>
      <c r="Q73">
        <v>0</v>
      </c>
      <c r="R73" s="4">
        <f>IFERROR(Data_Analyst_Intern_Nikhil_Kumar_February2026[[#This Row],[Total]]/Data_Analyst_Intern_Nikhil_Kumar_February2026[[#This Row],[Discount(%)]],0)</f>
        <v>0</v>
      </c>
      <c r="S73" s="2">
        <f>Data_Analyst_Intern_Nikhil_Kumar_February2026[[#This Row],[Total]]-Data_Analyst_Intern_Nikhil_Kumar_February2026[[#This Row],[Discount Amount]]</f>
        <v>2398</v>
      </c>
      <c r="T73" t="s">
        <v>112</v>
      </c>
      <c r="U73" t="s">
        <v>31</v>
      </c>
      <c r="V73" t="s">
        <v>138</v>
      </c>
      <c r="W73" t="s">
        <v>114</v>
      </c>
      <c r="X73" t="s">
        <v>46</v>
      </c>
      <c r="Y73" s="1">
        <v>45593</v>
      </c>
      <c r="Z73" s="3">
        <f>Data_Analyst_Intern_Nikhil_Kumar_February2026[[#This Row],[Del Date]]-Data_Analyst_Intern_Nikhil_Kumar_February2026[[#This Row],[Order Date]]</f>
        <v>10</v>
      </c>
      <c r="AA73" s="3" t="str" cm="1">
        <f t="array" ref="AA73">_xlfn.IFS(Data_Analyst_Intern_Nikhil_Kumar_February2026[[#This Row],[Del Days]]&lt;=7,"Fast",Data_Analyst_Intern_Nikhil_Kumar_February2026[[#This Row],[Del Days]]&lt;=15,"Standard",Data_Analyst_Intern_Nikhil_Kumar_February2026[[#This Row],[Del Days]]&gt;15,"Slow")</f>
        <v>Standard</v>
      </c>
      <c r="AB73" t="s">
        <v>34</v>
      </c>
      <c r="AC73">
        <f>IF(Data_Analyst_Intern_Nikhil_Kumar_February2026[[#This Row],[Status]]="RTO", 1,0)</f>
        <v>0</v>
      </c>
      <c r="AD73">
        <f>IF(Data_Analyst_Intern_Nikhil_Kumar_February2026[[#This Row],[Status]]="Delivered",1,0)</f>
        <v>1</v>
      </c>
      <c r="AE73" t="s">
        <v>35</v>
      </c>
      <c r="AF73">
        <f>IF(AND(Data_Analyst_Intern_Nikhil_Kumar_February2026[[#This Row],[Status]]="Delivered",Data_Analyst_Intern_Nikhil_Kumar_February2026[[#This Row],[Return?]]="Yes"),1,0)</f>
        <v>0</v>
      </c>
      <c r="AG73" t="s">
        <v>29</v>
      </c>
      <c r="AI73" t="s">
        <v>36</v>
      </c>
    </row>
    <row r="74" spans="1:35" x14ac:dyDescent="0.3">
      <c r="A74" t="s">
        <v>383</v>
      </c>
      <c r="B74" s="1">
        <v>45583</v>
      </c>
      <c r="C74" s="1" t="str">
        <f>TEXT(Data_Analyst_Intern_Nikhil_Kumar_February2026[[#This Row],[Order Date]], "mmmm")</f>
        <v>October</v>
      </c>
      <c r="D74" s="23">
        <f>WEEKNUM(Data_Analyst_Intern_Nikhil_Kumar_February2026[[#This Row],[Order Date]],2)</f>
        <v>42</v>
      </c>
      <c r="E74" s="23" t="str">
        <f>TEXT(Data_Analyst_Intern_Nikhil_Kumar_February2026[[#This Row],[Order Date]],"dddd")</f>
        <v>Friday</v>
      </c>
      <c r="F74" s="1">
        <v>45579</v>
      </c>
      <c r="G74" s="23" t="str">
        <f>TEXT(WEEKDAY(Data_Analyst_Intern_Nikhil_Kumar_February2026[[#This Row],[Order Date]],2), "dddd")</f>
        <v>Thursday</v>
      </c>
      <c r="H74" t="s">
        <v>384</v>
      </c>
      <c r="I74" t="s">
        <v>25</v>
      </c>
      <c r="J74" t="s">
        <v>385</v>
      </c>
      <c r="K74" t="s">
        <v>62</v>
      </c>
      <c r="L74" t="s">
        <v>386</v>
      </c>
      <c r="M74" s="2">
        <v>2599</v>
      </c>
      <c r="N74">
        <v>1</v>
      </c>
      <c r="O74" s="2">
        <v>2599</v>
      </c>
      <c r="P74" t="s">
        <v>43</v>
      </c>
      <c r="Q74">
        <v>20</v>
      </c>
      <c r="R74" s="4">
        <f>IFERROR(Data_Analyst_Intern_Nikhil_Kumar_February2026[[#This Row],[Total]]/Data_Analyst_Intern_Nikhil_Kumar_February2026[[#This Row],[Discount(%)]],0)</f>
        <v>129.94999999999999</v>
      </c>
      <c r="S74" s="2">
        <f>Data_Analyst_Intern_Nikhil_Kumar_February2026[[#This Row],[Total]]-Data_Analyst_Intern_Nikhil_Kumar_February2026[[#This Row],[Discount Amount]]</f>
        <v>2469.0500000000002</v>
      </c>
      <c r="T74" t="s">
        <v>44</v>
      </c>
      <c r="U74" t="s">
        <v>66</v>
      </c>
      <c r="V74" t="s">
        <v>144</v>
      </c>
      <c r="W74" t="s">
        <v>145</v>
      </c>
      <c r="X74" t="s">
        <v>46</v>
      </c>
      <c r="Y74" s="1">
        <v>45595</v>
      </c>
      <c r="Z74" s="3">
        <f>Data_Analyst_Intern_Nikhil_Kumar_February2026[[#This Row],[Del Date]]-Data_Analyst_Intern_Nikhil_Kumar_February2026[[#This Row],[Order Date]]</f>
        <v>12</v>
      </c>
      <c r="AA74" s="3" t="str" cm="1">
        <f t="array" ref="AA74">_xlfn.IFS(Data_Analyst_Intern_Nikhil_Kumar_February2026[[#This Row],[Del Days]]&lt;=7,"Fast",Data_Analyst_Intern_Nikhil_Kumar_February2026[[#This Row],[Del Days]]&lt;=15,"Standard",Data_Analyst_Intern_Nikhil_Kumar_February2026[[#This Row],[Del Days]]&gt;15,"Slow")</f>
        <v>Standard</v>
      </c>
      <c r="AB74" t="s">
        <v>34</v>
      </c>
      <c r="AC74">
        <f>IF(Data_Analyst_Intern_Nikhil_Kumar_February2026[[#This Row],[Status]]="RTO", 1,0)</f>
        <v>0</v>
      </c>
      <c r="AD74">
        <f>IF(Data_Analyst_Intern_Nikhil_Kumar_February2026[[#This Row],[Status]]="Delivered",1,0)</f>
        <v>1</v>
      </c>
      <c r="AE74" t="s">
        <v>47</v>
      </c>
      <c r="AF74">
        <f>IF(AND(Data_Analyst_Intern_Nikhil_Kumar_February2026[[#This Row],[Status]]="Delivered",Data_Analyst_Intern_Nikhil_Kumar_February2026[[#This Row],[Return?]]="Yes"),1,0)</f>
        <v>1</v>
      </c>
      <c r="AG74" t="s">
        <v>48</v>
      </c>
      <c r="AH74" s="1">
        <v>45622</v>
      </c>
      <c r="AI74" t="s">
        <v>49</v>
      </c>
    </row>
    <row r="75" spans="1:35" x14ac:dyDescent="0.3">
      <c r="A75" t="s">
        <v>387</v>
      </c>
      <c r="B75" s="1">
        <v>45583</v>
      </c>
      <c r="C75" s="1" t="str">
        <f>TEXT(Data_Analyst_Intern_Nikhil_Kumar_February2026[[#This Row],[Order Date]], "mmmm")</f>
        <v>October</v>
      </c>
      <c r="D75" s="23">
        <f>WEEKNUM(Data_Analyst_Intern_Nikhil_Kumar_February2026[[#This Row],[Order Date]],2)</f>
        <v>42</v>
      </c>
      <c r="E75" s="23" t="str">
        <f>TEXT(Data_Analyst_Intern_Nikhil_Kumar_February2026[[#This Row],[Order Date]],"dddd")</f>
        <v>Friday</v>
      </c>
      <c r="F75" s="1">
        <v>45579</v>
      </c>
      <c r="G75" s="23" t="str">
        <f>TEXT(WEEKDAY(Data_Analyst_Intern_Nikhil_Kumar_February2026[[#This Row],[Order Date]],2), "dddd")</f>
        <v>Thursday</v>
      </c>
      <c r="H75" t="s">
        <v>388</v>
      </c>
      <c r="I75" t="s">
        <v>39</v>
      </c>
      <c r="J75" t="s">
        <v>389</v>
      </c>
      <c r="K75" t="s">
        <v>72</v>
      </c>
      <c r="L75" t="s">
        <v>390</v>
      </c>
      <c r="M75" s="2">
        <v>299</v>
      </c>
      <c r="N75">
        <v>5</v>
      </c>
      <c r="O75" s="2">
        <v>1495</v>
      </c>
      <c r="P75" t="s">
        <v>29</v>
      </c>
      <c r="Q75">
        <v>0</v>
      </c>
      <c r="R75" s="4">
        <f>IFERROR(Data_Analyst_Intern_Nikhil_Kumar_February2026[[#This Row],[Total]]/Data_Analyst_Intern_Nikhil_Kumar_February2026[[#This Row],[Discount(%)]],0)</f>
        <v>0</v>
      </c>
      <c r="S75" s="2">
        <f>Data_Analyst_Intern_Nikhil_Kumar_February2026[[#This Row],[Total]]-Data_Analyst_Intern_Nikhil_Kumar_February2026[[#This Row],[Discount Amount]]</f>
        <v>1495</v>
      </c>
      <c r="T75" t="s">
        <v>30</v>
      </c>
      <c r="U75" t="s">
        <v>45</v>
      </c>
      <c r="V75" t="s">
        <v>150</v>
      </c>
      <c r="W75" t="s">
        <v>151</v>
      </c>
      <c r="X75" t="s">
        <v>32</v>
      </c>
      <c r="Y75" s="1">
        <v>45592</v>
      </c>
      <c r="Z75" s="3">
        <f>Data_Analyst_Intern_Nikhil_Kumar_February2026[[#This Row],[Del Date]]-Data_Analyst_Intern_Nikhil_Kumar_February2026[[#This Row],[Order Date]]</f>
        <v>9</v>
      </c>
      <c r="AA75" s="3" t="str" cm="1">
        <f t="array" ref="AA75">_xlfn.IFS(Data_Analyst_Intern_Nikhil_Kumar_February2026[[#This Row],[Del Days]]&lt;=7,"Fast",Data_Analyst_Intern_Nikhil_Kumar_February2026[[#This Row],[Del Days]]&lt;=15,"Standard",Data_Analyst_Intern_Nikhil_Kumar_February2026[[#This Row],[Del Days]]&gt;15,"Slow")</f>
        <v>Standard</v>
      </c>
      <c r="AB75" t="s">
        <v>34</v>
      </c>
      <c r="AC75">
        <f>IF(Data_Analyst_Intern_Nikhil_Kumar_February2026[[#This Row],[Status]]="RTO", 1,0)</f>
        <v>0</v>
      </c>
      <c r="AD75">
        <f>IF(Data_Analyst_Intern_Nikhil_Kumar_February2026[[#This Row],[Status]]="Delivered",1,0)</f>
        <v>1</v>
      </c>
      <c r="AE75" t="s">
        <v>35</v>
      </c>
      <c r="AF75">
        <f>IF(AND(Data_Analyst_Intern_Nikhil_Kumar_February2026[[#This Row],[Status]]="Delivered",Data_Analyst_Intern_Nikhil_Kumar_February2026[[#This Row],[Return?]]="Yes"),1,0)</f>
        <v>0</v>
      </c>
      <c r="AG75" t="s">
        <v>29</v>
      </c>
      <c r="AI75" t="s">
        <v>36</v>
      </c>
    </row>
    <row r="76" spans="1:35" x14ac:dyDescent="0.3">
      <c r="A76" t="s">
        <v>391</v>
      </c>
      <c r="B76" s="1">
        <v>45583</v>
      </c>
      <c r="C76" s="1" t="str">
        <f>TEXT(Data_Analyst_Intern_Nikhil_Kumar_February2026[[#This Row],[Order Date]], "mmmm")</f>
        <v>October</v>
      </c>
      <c r="D76" s="23">
        <f>WEEKNUM(Data_Analyst_Intern_Nikhil_Kumar_February2026[[#This Row],[Order Date]],2)</f>
        <v>42</v>
      </c>
      <c r="E76" s="23" t="str">
        <f>TEXT(Data_Analyst_Intern_Nikhil_Kumar_February2026[[#This Row],[Order Date]],"dddd")</f>
        <v>Friday</v>
      </c>
      <c r="F76" s="1">
        <v>45579</v>
      </c>
      <c r="G76" s="23" t="str">
        <f>TEXT(WEEKDAY(Data_Analyst_Intern_Nikhil_Kumar_February2026[[#This Row],[Order Date]],2), "dddd")</f>
        <v>Thursday</v>
      </c>
      <c r="H76" t="s">
        <v>392</v>
      </c>
      <c r="I76" t="s">
        <v>25</v>
      </c>
      <c r="J76" t="s">
        <v>393</v>
      </c>
      <c r="K76" t="s">
        <v>54</v>
      </c>
      <c r="L76" t="s">
        <v>394</v>
      </c>
      <c r="M76" s="2">
        <v>1899</v>
      </c>
      <c r="N76">
        <v>1</v>
      </c>
      <c r="O76" s="2">
        <v>1899</v>
      </c>
      <c r="P76" t="s">
        <v>29</v>
      </c>
      <c r="Q76">
        <v>0</v>
      </c>
      <c r="R76" s="4">
        <f>IFERROR(Data_Analyst_Intern_Nikhil_Kumar_February2026[[#This Row],[Total]]/Data_Analyst_Intern_Nikhil_Kumar_February2026[[#This Row],[Discount(%)]],0)</f>
        <v>0</v>
      </c>
      <c r="S76" s="2">
        <f>Data_Analyst_Intern_Nikhil_Kumar_February2026[[#This Row],[Total]]-Data_Analyst_Intern_Nikhil_Kumar_February2026[[#This Row],[Discount Amount]]</f>
        <v>1899</v>
      </c>
      <c r="T76" t="s">
        <v>65</v>
      </c>
      <c r="U76" t="s">
        <v>31</v>
      </c>
      <c r="V76" t="s">
        <v>156</v>
      </c>
      <c r="W76" t="s">
        <v>98</v>
      </c>
      <c r="X76" t="s">
        <v>32</v>
      </c>
      <c r="Y76" s="1">
        <v>45595</v>
      </c>
      <c r="Z76" s="3">
        <f>Data_Analyst_Intern_Nikhil_Kumar_February2026[[#This Row],[Del Date]]-Data_Analyst_Intern_Nikhil_Kumar_February2026[[#This Row],[Order Date]]</f>
        <v>12</v>
      </c>
      <c r="AA76" s="3" t="str" cm="1">
        <f t="array" ref="AA76">_xlfn.IFS(Data_Analyst_Intern_Nikhil_Kumar_February2026[[#This Row],[Del Days]]&lt;=7,"Fast",Data_Analyst_Intern_Nikhil_Kumar_February2026[[#This Row],[Del Days]]&lt;=15,"Standard",Data_Analyst_Intern_Nikhil_Kumar_February2026[[#This Row],[Del Days]]&gt;15,"Slow")</f>
        <v>Standard</v>
      </c>
      <c r="AB76" t="s">
        <v>34</v>
      </c>
      <c r="AC76">
        <f>IF(Data_Analyst_Intern_Nikhil_Kumar_February2026[[#This Row],[Status]]="RTO", 1,0)</f>
        <v>0</v>
      </c>
      <c r="AD76">
        <f>IF(Data_Analyst_Intern_Nikhil_Kumar_February2026[[#This Row],[Status]]="Delivered",1,0)</f>
        <v>1</v>
      </c>
      <c r="AE76" t="s">
        <v>47</v>
      </c>
      <c r="AF76">
        <f>IF(AND(Data_Analyst_Intern_Nikhil_Kumar_February2026[[#This Row],[Status]]="Delivered",Data_Analyst_Intern_Nikhil_Kumar_February2026[[#This Row],[Return?]]="Yes"),1,0)</f>
        <v>1</v>
      </c>
      <c r="AG76" t="s">
        <v>105</v>
      </c>
      <c r="AH76" s="1">
        <v>45624</v>
      </c>
      <c r="AI76" t="s">
        <v>49</v>
      </c>
    </row>
    <row r="77" spans="1:35" x14ac:dyDescent="0.3">
      <c r="A77" t="s">
        <v>395</v>
      </c>
      <c r="B77" s="1">
        <v>45584</v>
      </c>
      <c r="C77" s="1" t="str">
        <f>TEXT(Data_Analyst_Intern_Nikhil_Kumar_February2026[[#This Row],[Order Date]], "mmmm")</f>
        <v>October</v>
      </c>
      <c r="D77" s="23">
        <f>WEEKNUM(Data_Analyst_Intern_Nikhil_Kumar_February2026[[#This Row],[Order Date]],2)</f>
        <v>42</v>
      </c>
      <c r="E77" s="23" t="str">
        <f>TEXT(Data_Analyst_Intern_Nikhil_Kumar_February2026[[#This Row],[Order Date]],"dddd")</f>
        <v>Saturday</v>
      </c>
      <c r="F77" s="1">
        <v>45579</v>
      </c>
      <c r="G77" s="23" t="str">
        <f>TEXT(WEEKDAY(Data_Analyst_Intern_Nikhil_Kumar_February2026[[#This Row],[Order Date]],2), "dddd")</f>
        <v>Friday</v>
      </c>
      <c r="H77" t="s">
        <v>396</v>
      </c>
      <c r="I77" t="s">
        <v>25</v>
      </c>
      <c r="J77" t="s">
        <v>397</v>
      </c>
      <c r="K77" t="s">
        <v>41</v>
      </c>
      <c r="L77" t="s">
        <v>398</v>
      </c>
      <c r="M77" s="2">
        <v>2199</v>
      </c>
      <c r="N77">
        <v>1</v>
      </c>
      <c r="O77" s="2">
        <v>2199</v>
      </c>
      <c r="P77" t="s">
        <v>29</v>
      </c>
      <c r="Q77">
        <v>0</v>
      </c>
      <c r="R77" s="4">
        <f>IFERROR(Data_Analyst_Intern_Nikhil_Kumar_February2026[[#This Row],[Total]]/Data_Analyst_Intern_Nikhil_Kumar_February2026[[#This Row],[Discount(%)]],0)</f>
        <v>0</v>
      </c>
      <c r="S77" s="2">
        <f>Data_Analyst_Intern_Nikhil_Kumar_February2026[[#This Row],[Total]]-Data_Analyst_Intern_Nikhil_Kumar_February2026[[#This Row],[Discount Amount]]</f>
        <v>2199</v>
      </c>
      <c r="T77" t="s">
        <v>44</v>
      </c>
      <c r="U77" t="s">
        <v>66</v>
      </c>
      <c r="V77" t="s">
        <v>161</v>
      </c>
      <c r="W77" t="s">
        <v>162</v>
      </c>
      <c r="X77" t="s">
        <v>46</v>
      </c>
      <c r="Y77" s="1">
        <v>45596</v>
      </c>
      <c r="Z77" s="3">
        <f>Data_Analyst_Intern_Nikhil_Kumar_February2026[[#This Row],[Del Date]]-Data_Analyst_Intern_Nikhil_Kumar_February2026[[#This Row],[Order Date]]</f>
        <v>12</v>
      </c>
      <c r="AA77" s="3" t="str" cm="1">
        <f t="array" ref="AA77">_xlfn.IFS(Data_Analyst_Intern_Nikhil_Kumar_February2026[[#This Row],[Del Days]]&lt;=7,"Fast",Data_Analyst_Intern_Nikhil_Kumar_February2026[[#This Row],[Del Days]]&lt;=15,"Standard",Data_Analyst_Intern_Nikhil_Kumar_February2026[[#This Row],[Del Days]]&gt;15,"Slow")</f>
        <v>Standard</v>
      </c>
      <c r="AB77" t="s">
        <v>34</v>
      </c>
      <c r="AC77">
        <f>IF(Data_Analyst_Intern_Nikhil_Kumar_February2026[[#This Row],[Status]]="RTO", 1,0)</f>
        <v>0</v>
      </c>
      <c r="AD77">
        <f>IF(Data_Analyst_Intern_Nikhil_Kumar_February2026[[#This Row],[Status]]="Delivered",1,0)</f>
        <v>1</v>
      </c>
      <c r="AE77" t="s">
        <v>35</v>
      </c>
      <c r="AF77">
        <f>IF(AND(Data_Analyst_Intern_Nikhil_Kumar_February2026[[#This Row],[Status]]="Delivered",Data_Analyst_Intern_Nikhil_Kumar_February2026[[#This Row],[Return?]]="Yes"),1,0)</f>
        <v>0</v>
      </c>
      <c r="AG77" t="s">
        <v>29</v>
      </c>
      <c r="AI77" t="s">
        <v>36</v>
      </c>
    </row>
    <row r="78" spans="1:35" x14ac:dyDescent="0.3">
      <c r="A78" t="s">
        <v>399</v>
      </c>
      <c r="B78" s="1">
        <v>45584</v>
      </c>
      <c r="C78" s="1" t="str">
        <f>TEXT(Data_Analyst_Intern_Nikhil_Kumar_February2026[[#This Row],[Order Date]], "mmmm")</f>
        <v>October</v>
      </c>
      <c r="D78" s="23">
        <f>WEEKNUM(Data_Analyst_Intern_Nikhil_Kumar_February2026[[#This Row],[Order Date]],2)</f>
        <v>42</v>
      </c>
      <c r="E78" s="23" t="str">
        <f>TEXT(Data_Analyst_Intern_Nikhil_Kumar_February2026[[#This Row],[Order Date]],"dddd")</f>
        <v>Saturday</v>
      </c>
      <c r="F78" s="1">
        <v>45579</v>
      </c>
      <c r="G78" s="23" t="str">
        <f>TEXT(WEEKDAY(Data_Analyst_Intern_Nikhil_Kumar_February2026[[#This Row],[Order Date]],2), "dddd")</f>
        <v>Friday</v>
      </c>
      <c r="H78" t="s">
        <v>400</v>
      </c>
      <c r="I78" t="s">
        <v>25</v>
      </c>
      <c r="J78" t="s">
        <v>401</v>
      </c>
      <c r="K78" t="s">
        <v>27</v>
      </c>
      <c r="L78" t="s">
        <v>402</v>
      </c>
      <c r="M78" s="2">
        <v>1799</v>
      </c>
      <c r="N78">
        <v>1</v>
      </c>
      <c r="O78" s="2">
        <v>1799</v>
      </c>
      <c r="P78" t="s">
        <v>111</v>
      </c>
      <c r="Q78">
        <v>10</v>
      </c>
      <c r="R78" s="4">
        <f>IFERROR(Data_Analyst_Intern_Nikhil_Kumar_February2026[[#This Row],[Total]]/Data_Analyst_Intern_Nikhil_Kumar_February2026[[#This Row],[Discount(%)]],0)</f>
        <v>179.9</v>
      </c>
      <c r="S78" s="2">
        <f>Data_Analyst_Intern_Nikhil_Kumar_February2026[[#This Row],[Total]]-Data_Analyst_Intern_Nikhil_Kumar_February2026[[#This Row],[Discount Amount]]</f>
        <v>1619.1</v>
      </c>
      <c r="T78" t="s">
        <v>56</v>
      </c>
      <c r="U78" t="s">
        <v>45</v>
      </c>
      <c r="V78" t="s">
        <v>167</v>
      </c>
      <c r="W78" t="s">
        <v>151</v>
      </c>
      <c r="X78" t="s">
        <v>32</v>
      </c>
      <c r="Y78" s="1">
        <v>45594</v>
      </c>
      <c r="Z78" s="3">
        <f>Data_Analyst_Intern_Nikhil_Kumar_February2026[[#This Row],[Del Date]]-Data_Analyst_Intern_Nikhil_Kumar_February2026[[#This Row],[Order Date]]</f>
        <v>10</v>
      </c>
      <c r="AA78" s="3" t="str" cm="1">
        <f t="array" ref="AA78">_xlfn.IFS(Data_Analyst_Intern_Nikhil_Kumar_February2026[[#This Row],[Del Days]]&lt;=7,"Fast",Data_Analyst_Intern_Nikhil_Kumar_February2026[[#This Row],[Del Days]]&lt;=15,"Standard",Data_Analyst_Intern_Nikhil_Kumar_February2026[[#This Row],[Del Days]]&gt;15,"Slow")</f>
        <v>Standard</v>
      </c>
      <c r="AB78" t="s">
        <v>34</v>
      </c>
      <c r="AC78">
        <f>IF(Data_Analyst_Intern_Nikhil_Kumar_February2026[[#This Row],[Status]]="RTO", 1,0)</f>
        <v>0</v>
      </c>
      <c r="AD78">
        <f>IF(Data_Analyst_Intern_Nikhil_Kumar_February2026[[#This Row],[Status]]="Delivered",1,0)</f>
        <v>1</v>
      </c>
      <c r="AE78" t="s">
        <v>47</v>
      </c>
      <c r="AF78">
        <f>IF(AND(Data_Analyst_Intern_Nikhil_Kumar_February2026[[#This Row],[Status]]="Delivered",Data_Analyst_Intern_Nikhil_Kumar_February2026[[#This Row],[Return?]]="Yes"),1,0)</f>
        <v>1</v>
      </c>
      <c r="AG78" t="s">
        <v>69</v>
      </c>
      <c r="AH78" s="1">
        <v>45621</v>
      </c>
      <c r="AI78" t="s">
        <v>49</v>
      </c>
    </row>
    <row r="79" spans="1:35" x14ac:dyDescent="0.3">
      <c r="A79" t="s">
        <v>403</v>
      </c>
      <c r="B79" s="1">
        <v>45584</v>
      </c>
      <c r="C79" s="1" t="str">
        <f>TEXT(Data_Analyst_Intern_Nikhil_Kumar_February2026[[#This Row],[Order Date]], "mmmm")</f>
        <v>October</v>
      </c>
      <c r="D79" s="23">
        <f>WEEKNUM(Data_Analyst_Intern_Nikhil_Kumar_February2026[[#This Row],[Order Date]],2)</f>
        <v>42</v>
      </c>
      <c r="E79" s="23" t="str">
        <f>TEXT(Data_Analyst_Intern_Nikhil_Kumar_February2026[[#This Row],[Order Date]],"dddd")</f>
        <v>Saturday</v>
      </c>
      <c r="F79" s="1">
        <v>45579</v>
      </c>
      <c r="G79" s="23" t="str">
        <f>TEXT(WEEKDAY(Data_Analyst_Intern_Nikhil_Kumar_February2026[[#This Row],[Order Date]],2), "dddd")</f>
        <v>Friday</v>
      </c>
      <c r="H79" t="s">
        <v>404</v>
      </c>
      <c r="I79" t="s">
        <v>39</v>
      </c>
      <c r="J79" t="s">
        <v>405</v>
      </c>
      <c r="K79" t="s">
        <v>62</v>
      </c>
      <c r="L79" t="s">
        <v>406</v>
      </c>
      <c r="M79" s="2">
        <v>4999</v>
      </c>
      <c r="N79">
        <v>1</v>
      </c>
      <c r="O79" s="2">
        <v>4999</v>
      </c>
      <c r="P79" t="s">
        <v>29</v>
      </c>
      <c r="Q79">
        <v>0</v>
      </c>
      <c r="R79" s="4">
        <f>IFERROR(Data_Analyst_Intern_Nikhil_Kumar_February2026[[#This Row],[Total]]/Data_Analyst_Intern_Nikhil_Kumar_February2026[[#This Row],[Discount(%)]],0)</f>
        <v>0</v>
      </c>
      <c r="S79" s="2">
        <f>Data_Analyst_Intern_Nikhil_Kumar_February2026[[#This Row],[Total]]-Data_Analyst_Intern_Nikhil_Kumar_February2026[[#This Row],[Discount Amount]]</f>
        <v>4999</v>
      </c>
      <c r="T79" t="s">
        <v>30</v>
      </c>
      <c r="U79" t="s">
        <v>31</v>
      </c>
      <c r="V79" t="s">
        <v>172</v>
      </c>
      <c r="W79" t="s">
        <v>33</v>
      </c>
      <c r="X79" t="s">
        <v>32</v>
      </c>
      <c r="Y79" s="1">
        <v>45597</v>
      </c>
      <c r="Z79" s="3">
        <f>Data_Analyst_Intern_Nikhil_Kumar_February2026[[#This Row],[Del Date]]-Data_Analyst_Intern_Nikhil_Kumar_February2026[[#This Row],[Order Date]]</f>
        <v>13</v>
      </c>
      <c r="AA79" s="3" t="str" cm="1">
        <f t="array" ref="AA79">_xlfn.IFS(Data_Analyst_Intern_Nikhil_Kumar_February2026[[#This Row],[Del Days]]&lt;=7,"Fast",Data_Analyst_Intern_Nikhil_Kumar_February2026[[#This Row],[Del Days]]&lt;=15,"Standard",Data_Analyst_Intern_Nikhil_Kumar_February2026[[#This Row],[Del Days]]&gt;15,"Slow")</f>
        <v>Standard</v>
      </c>
      <c r="AB79" t="s">
        <v>34</v>
      </c>
      <c r="AC79">
        <f>IF(Data_Analyst_Intern_Nikhil_Kumar_February2026[[#This Row],[Status]]="RTO", 1,0)</f>
        <v>0</v>
      </c>
      <c r="AD79">
        <f>IF(Data_Analyst_Intern_Nikhil_Kumar_February2026[[#This Row],[Status]]="Delivered",1,0)</f>
        <v>1</v>
      </c>
      <c r="AE79" t="s">
        <v>35</v>
      </c>
      <c r="AF79">
        <f>IF(AND(Data_Analyst_Intern_Nikhil_Kumar_February2026[[#This Row],[Status]]="Delivered",Data_Analyst_Intern_Nikhil_Kumar_February2026[[#This Row],[Return?]]="Yes"),1,0)</f>
        <v>0</v>
      </c>
      <c r="AG79" t="s">
        <v>29</v>
      </c>
      <c r="AI79" t="s">
        <v>36</v>
      </c>
    </row>
    <row r="80" spans="1:35" x14ac:dyDescent="0.3">
      <c r="A80" t="s">
        <v>407</v>
      </c>
      <c r="B80" s="1">
        <v>45584</v>
      </c>
      <c r="C80" s="1" t="str">
        <f>TEXT(Data_Analyst_Intern_Nikhil_Kumar_February2026[[#This Row],[Order Date]], "mmmm")</f>
        <v>October</v>
      </c>
      <c r="D80" s="23">
        <f>WEEKNUM(Data_Analyst_Intern_Nikhil_Kumar_February2026[[#This Row],[Order Date]],2)</f>
        <v>42</v>
      </c>
      <c r="E80" s="23" t="str">
        <f>TEXT(Data_Analyst_Intern_Nikhil_Kumar_February2026[[#This Row],[Order Date]],"dddd")</f>
        <v>Saturday</v>
      </c>
      <c r="F80" s="1">
        <v>45579</v>
      </c>
      <c r="G80" s="23" t="str">
        <f>TEXT(WEEKDAY(Data_Analyst_Intern_Nikhil_Kumar_February2026[[#This Row],[Order Date]],2), "dddd")</f>
        <v>Friday</v>
      </c>
      <c r="H80" t="s">
        <v>408</v>
      </c>
      <c r="I80" t="s">
        <v>25</v>
      </c>
      <c r="J80" t="s">
        <v>409</v>
      </c>
      <c r="K80" t="s">
        <v>72</v>
      </c>
      <c r="L80" t="s">
        <v>410</v>
      </c>
      <c r="M80" s="2">
        <v>999</v>
      </c>
      <c r="N80">
        <v>1</v>
      </c>
      <c r="O80" s="2">
        <v>999</v>
      </c>
      <c r="P80" t="s">
        <v>29</v>
      </c>
      <c r="Q80">
        <v>0</v>
      </c>
      <c r="R80" s="4">
        <f>IFERROR(Data_Analyst_Intern_Nikhil_Kumar_February2026[[#This Row],[Total]]/Data_Analyst_Intern_Nikhil_Kumar_February2026[[#This Row],[Discount(%)]],0)</f>
        <v>0</v>
      </c>
      <c r="S80" s="2">
        <f>Data_Analyst_Intern_Nikhil_Kumar_February2026[[#This Row],[Total]]-Data_Analyst_Intern_Nikhil_Kumar_February2026[[#This Row],[Discount Amount]]</f>
        <v>999</v>
      </c>
      <c r="T80" t="s">
        <v>112</v>
      </c>
      <c r="U80" t="s">
        <v>66</v>
      </c>
      <c r="V80" t="s">
        <v>177</v>
      </c>
      <c r="W80" t="s">
        <v>68</v>
      </c>
      <c r="X80" t="s">
        <v>57</v>
      </c>
      <c r="Y80" s="1">
        <v>45595</v>
      </c>
      <c r="Z80" s="3">
        <f>Data_Analyst_Intern_Nikhil_Kumar_February2026[[#This Row],[Del Date]]-Data_Analyst_Intern_Nikhil_Kumar_February2026[[#This Row],[Order Date]]</f>
        <v>11</v>
      </c>
      <c r="AA80" s="3" t="str" cm="1">
        <f t="array" ref="AA80">_xlfn.IFS(Data_Analyst_Intern_Nikhil_Kumar_February2026[[#This Row],[Del Days]]&lt;=7,"Fast",Data_Analyst_Intern_Nikhil_Kumar_February2026[[#This Row],[Del Days]]&lt;=15,"Standard",Data_Analyst_Intern_Nikhil_Kumar_February2026[[#This Row],[Del Days]]&gt;15,"Slow")</f>
        <v>Standard</v>
      </c>
      <c r="AB80" t="s">
        <v>34</v>
      </c>
      <c r="AC80">
        <f>IF(Data_Analyst_Intern_Nikhil_Kumar_February2026[[#This Row],[Status]]="RTO", 1,0)</f>
        <v>0</v>
      </c>
      <c r="AD80">
        <f>IF(Data_Analyst_Intern_Nikhil_Kumar_February2026[[#This Row],[Status]]="Delivered",1,0)</f>
        <v>1</v>
      </c>
      <c r="AE80" t="s">
        <v>47</v>
      </c>
      <c r="AF80">
        <f>IF(AND(Data_Analyst_Intern_Nikhil_Kumar_February2026[[#This Row],[Status]]="Delivered",Data_Analyst_Intern_Nikhil_Kumar_February2026[[#This Row],[Return?]]="Yes"),1,0)</f>
        <v>1</v>
      </c>
      <c r="AG80" t="s">
        <v>48</v>
      </c>
      <c r="AH80" s="1">
        <v>45624</v>
      </c>
      <c r="AI80" t="s">
        <v>49</v>
      </c>
    </row>
    <row r="81" spans="1:35" x14ac:dyDescent="0.3">
      <c r="A81" t="s">
        <v>411</v>
      </c>
      <c r="B81" s="1">
        <v>45585</v>
      </c>
      <c r="C81" s="1" t="str">
        <f>TEXT(Data_Analyst_Intern_Nikhil_Kumar_February2026[[#This Row],[Order Date]], "mmmm")</f>
        <v>October</v>
      </c>
      <c r="D81" s="23">
        <f>WEEKNUM(Data_Analyst_Intern_Nikhil_Kumar_February2026[[#This Row],[Order Date]],2)</f>
        <v>42</v>
      </c>
      <c r="E81" s="23" t="str">
        <f>TEXT(Data_Analyst_Intern_Nikhil_Kumar_February2026[[#This Row],[Order Date]],"dddd")</f>
        <v>Sunday</v>
      </c>
      <c r="F81" s="1">
        <v>45579</v>
      </c>
      <c r="G81" s="23" t="str">
        <f>TEXT(WEEKDAY(Data_Analyst_Intern_Nikhil_Kumar_February2026[[#This Row],[Order Date]],2), "dddd")</f>
        <v>Saturday</v>
      </c>
      <c r="H81" t="s">
        <v>412</v>
      </c>
      <c r="I81" t="s">
        <v>25</v>
      </c>
      <c r="J81" t="s">
        <v>413</v>
      </c>
      <c r="K81" t="s">
        <v>54</v>
      </c>
      <c r="L81" t="s">
        <v>414</v>
      </c>
      <c r="M81" s="2">
        <v>1499</v>
      </c>
      <c r="N81">
        <v>1</v>
      </c>
      <c r="O81" s="2">
        <v>1499</v>
      </c>
      <c r="P81" t="s">
        <v>43</v>
      </c>
      <c r="Q81">
        <v>20</v>
      </c>
      <c r="R81" s="4">
        <f>IFERROR(Data_Analyst_Intern_Nikhil_Kumar_February2026[[#This Row],[Total]]/Data_Analyst_Intern_Nikhil_Kumar_February2026[[#This Row],[Discount(%)]],0)</f>
        <v>74.95</v>
      </c>
      <c r="S81" s="2">
        <f>Data_Analyst_Intern_Nikhil_Kumar_February2026[[#This Row],[Total]]-Data_Analyst_Intern_Nikhil_Kumar_February2026[[#This Row],[Discount Amount]]</f>
        <v>1424.05</v>
      </c>
      <c r="T81" t="s">
        <v>44</v>
      </c>
      <c r="U81" t="s">
        <v>45</v>
      </c>
      <c r="V81" t="s">
        <v>182</v>
      </c>
      <c r="W81" t="s">
        <v>183</v>
      </c>
      <c r="X81" t="s">
        <v>57</v>
      </c>
      <c r="Y81" s="1">
        <v>45596</v>
      </c>
      <c r="Z81" s="3">
        <f>Data_Analyst_Intern_Nikhil_Kumar_February2026[[#This Row],[Del Date]]-Data_Analyst_Intern_Nikhil_Kumar_February2026[[#This Row],[Order Date]]</f>
        <v>11</v>
      </c>
      <c r="AA81" s="3" t="str" cm="1">
        <f t="array" ref="AA81">_xlfn.IFS(Data_Analyst_Intern_Nikhil_Kumar_February2026[[#This Row],[Del Days]]&lt;=7,"Fast",Data_Analyst_Intern_Nikhil_Kumar_February2026[[#This Row],[Del Days]]&lt;=15,"Standard",Data_Analyst_Intern_Nikhil_Kumar_February2026[[#This Row],[Del Days]]&gt;15,"Slow")</f>
        <v>Standard</v>
      </c>
      <c r="AB81" t="s">
        <v>34</v>
      </c>
      <c r="AC81">
        <f>IF(Data_Analyst_Intern_Nikhil_Kumar_February2026[[#This Row],[Status]]="RTO", 1,0)</f>
        <v>0</v>
      </c>
      <c r="AD81">
        <f>IF(Data_Analyst_Intern_Nikhil_Kumar_February2026[[#This Row],[Status]]="Delivered",1,0)</f>
        <v>1</v>
      </c>
      <c r="AE81" t="s">
        <v>35</v>
      </c>
      <c r="AF81">
        <f>IF(AND(Data_Analyst_Intern_Nikhil_Kumar_February2026[[#This Row],[Status]]="Delivered",Data_Analyst_Intern_Nikhil_Kumar_February2026[[#This Row],[Return?]]="Yes"),1,0)</f>
        <v>0</v>
      </c>
      <c r="AG81" t="s">
        <v>29</v>
      </c>
      <c r="AI81" t="s">
        <v>36</v>
      </c>
    </row>
    <row r="82" spans="1:35" x14ac:dyDescent="0.3">
      <c r="A82" t="s">
        <v>415</v>
      </c>
      <c r="B82" s="1">
        <v>45585</v>
      </c>
      <c r="C82" s="1" t="str">
        <f>TEXT(Data_Analyst_Intern_Nikhil_Kumar_February2026[[#This Row],[Order Date]], "mmmm")</f>
        <v>October</v>
      </c>
      <c r="D82" s="23">
        <f>WEEKNUM(Data_Analyst_Intern_Nikhil_Kumar_February2026[[#This Row],[Order Date]],2)</f>
        <v>42</v>
      </c>
      <c r="E82" s="23" t="str">
        <f>TEXT(Data_Analyst_Intern_Nikhil_Kumar_February2026[[#This Row],[Order Date]],"dddd")</f>
        <v>Sunday</v>
      </c>
      <c r="F82" s="1">
        <v>45579</v>
      </c>
      <c r="G82" s="23" t="str">
        <f>TEXT(WEEKDAY(Data_Analyst_Intern_Nikhil_Kumar_February2026[[#This Row],[Order Date]],2), "dddd")</f>
        <v>Saturday</v>
      </c>
      <c r="H82" t="s">
        <v>416</v>
      </c>
      <c r="I82" t="s">
        <v>25</v>
      </c>
      <c r="J82" t="s">
        <v>417</v>
      </c>
      <c r="K82" t="s">
        <v>41</v>
      </c>
      <c r="L82" t="s">
        <v>418</v>
      </c>
      <c r="M82" s="2">
        <v>2899</v>
      </c>
      <c r="N82">
        <v>1</v>
      </c>
      <c r="O82" s="2">
        <v>2899</v>
      </c>
      <c r="P82" t="s">
        <v>29</v>
      </c>
      <c r="Q82">
        <v>0</v>
      </c>
      <c r="R82" s="4">
        <f>IFERROR(Data_Analyst_Intern_Nikhil_Kumar_February2026[[#This Row],[Total]]/Data_Analyst_Intern_Nikhil_Kumar_February2026[[#This Row],[Discount(%)]],0)</f>
        <v>0</v>
      </c>
      <c r="S82" s="2">
        <f>Data_Analyst_Intern_Nikhil_Kumar_February2026[[#This Row],[Total]]-Data_Analyst_Intern_Nikhil_Kumar_February2026[[#This Row],[Discount Amount]]</f>
        <v>2899</v>
      </c>
      <c r="T82" t="s">
        <v>65</v>
      </c>
      <c r="U82" t="s">
        <v>31</v>
      </c>
      <c r="V82" t="s">
        <v>188</v>
      </c>
      <c r="W82" t="s">
        <v>189</v>
      </c>
      <c r="X82" t="s">
        <v>57</v>
      </c>
      <c r="Y82" s="1">
        <v>45598</v>
      </c>
      <c r="Z82" s="3">
        <f>Data_Analyst_Intern_Nikhil_Kumar_February2026[[#This Row],[Del Date]]-Data_Analyst_Intern_Nikhil_Kumar_February2026[[#This Row],[Order Date]]</f>
        <v>13</v>
      </c>
      <c r="AA82" s="3" t="str" cm="1">
        <f t="array" ref="AA82">_xlfn.IFS(Data_Analyst_Intern_Nikhil_Kumar_February2026[[#This Row],[Del Days]]&lt;=7,"Fast",Data_Analyst_Intern_Nikhil_Kumar_February2026[[#This Row],[Del Days]]&lt;=15,"Standard",Data_Analyst_Intern_Nikhil_Kumar_February2026[[#This Row],[Del Days]]&gt;15,"Slow")</f>
        <v>Standard</v>
      </c>
      <c r="AB82" t="s">
        <v>34</v>
      </c>
      <c r="AC82">
        <f>IF(Data_Analyst_Intern_Nikhil_Kumar_February2026[[#This Row],[Status]]="RTO", 1,0)</f>
        <v>0</v>
      </c>
      <c r="AD82">
        <f>IF(Data_Analyst_Intern_Nikhil_Kumar_February2026[[#This Row],[Status]]="Delivered",1,0)</f>
        <v>1</v>
      </c>
      <c r="AE82" t="s">
        <v>47</v>
      </c>
      <c r="AF82">
        <f>IF(AND(Data_Analyst_Intern_Nikhil_Kumar_February2026[[#This Row],[Status]]="Delivered",Data_Analyst_Intern_Nikhil_Kumar_February2026[[#This Row],[Return?]]="Yes"),1,0)</f>
        <v>1</v>
      </c>
      <c r="AG82" t="s">
        <v>80</v>
      </c>
      <c r="AH82" s="1">
        <v>45626</v>
      </c>
      <c r="AI82" t="s">
        <v>49</v>
      </c>
    </row>
    <row r="83" spans="1:35" x14ac:dyDescent="0.3">
      <c r="A83" t="s">
        <v>419</v>
      </c>
      <c r="B83" s="1">
        <v>45585</v>
      </c>
      <c r="C83" s="1" t="str">
        <f>TEXT(Data_Analyst_Intern_Nikhil_Kumar_February2026[[#This Row],[Order Date]], "mmmm")</f>
        <v>October</v>
      </c>
      <c r="D83" s="23">
        <f>WEEKNUM(Data_Analyst_Intern_Nikhil_Kumar_February2026[[#This Row],[Order Date]],2)</f>
        <v>42</v>
      </c>
      <c r="E83" s="23" t="str">
        <f>TEXT(Data_Analyst_Intern_Nikhil_Kumar_February2026[[#This Row],[Order Date]],"dddd")</f>
        <v>Sunday</v>
      </c>
      <c r="F83" s="1">
        <v>45579</v>
      </c>
      <c r="G83" s="23" t="str">
        <f>TEXT(WEEKDAY(Data_Analyst_Intern_Nikhil_Kumar_February2026[[#This Row],[Order Date]],2), "dddd")</f>
        <v>Saturday</v>
      </c>
      <c r="H83" t="s">
        <v>420</v>
      </c>
      <c r="I83" t="s">
        <v>39</v>
      </c>
      <c r="J83" t="s">
        <v>421</v>
      </c>
      <c r="K83" t="s">
        <v>27</v>
      </c>
      <c r="L83" t="s">
        <v>422</v>
      </c>
      <c r="M83" s="2">
        <v>1099</v>
      </c>
      <c r="N83">
        <v>2</v>
      </c>
      <c r="O83" s="2">
        <v>2198</v>
      </c>
      <c r="P83" t="s">
        <v>29</v>
      </c>
      <c r="Q83">
        <v>0</v>
      </c>
      <c r="R83" s="4">
        <f>IFERROR(Data_Analyst_Intern_Nikhil_Kumar_February2026[[#This Row],[Total]]/Data_Analyst_Intern_Nikhil_Kumar_February2026[[#This Row],[Discount(%)]],0)</f>
        <v>0</v>
      </c>
      <c r="S83" s="2">
        <f>Data_Analyst_Intern_Nikhil_Kumar_February2026[[#This Row],[Total]]-Data_Analyst_Intern_Nikhil_Kumar_February2026[[#This Row],[Discount Amount]]</f>
        <v>2198</v>
      </c>
      <c r="T83" t="s">
        <v>30</v>
      </c>
      <c r="U83" t="s">
        <v>66</v>
      </c>
      <c r="V83" t="s">
        <v>194</v>
      </c>
      <c r="W83" t="s">
        <v>183</v>
      </c>
      <c r="X83" t="s">
        <v>57</v>
      </c>
      <c r="Y83" s="1">
        <v>45595</v>
      </c>
      <c r="Z83" s="3">
        <f>Data_Analyst_Intern_Nikhil_Kumar_February2026[[#This Row],[Del Date]]-Data_Analyst_Intern_Nikhil_Kumar_February2026[[#This Row],[Order Date]]</f>
        <v>10</v>
      </c>
      <c r="AA83" s="3" t="str" cm="1">
        <f t="array" ref="AA83">_xlfn.IFS(Data_Analyst_Intern_Nikhil_Kumar_February2026[[#This Row],[Del Days]]&lt;=7,"Fast",Data_Analyst_Intern_Nikhil_Kumar_February2026[[#This Row],[Del Days]]&lt;=15,"Standard",Data_Analyst_Intern_Nikhil_Kumar_February2026[[#This Row],[Del Days]]&gt;15,"Slow")</f>
        <v>Standard</v>
      </c>
      <c r="AB83" t="s">
        <v>34</v>
      </c>
      <c r="AC83">
        <f>IF(Data_Analyst_Intern_Nikhil_Kumar_February2026[[#This Row],[Status]]="RTO", 1,0)</f>
        <v>0</v>
      </c>
      <c r="AD83">
        <f>IF(Data_Analyst_Intern_Nikhil_Kumar_February2026[[#This Row],[Status]]="Delivered",1,0)</f>
        <v>1</v>
      </c>
      <c r="AE83" t="s">
        <v>35</v>
      </c>
      <c r="AF83">
        <f>IF(AND(Data_Analyst_Intern_Nikhil_Kumar_February2026[[#This Row],[Status]]="Delivered",Data_Analyst_Intern_Nikhil_Kumar_February2026[[#This Row],[Return?]]="Yes"),1,0)</f>
        <v>0</v>
      </c>
      <c r="AG83" t="s">
        <v>29</v>
      </c>
      <c r="AI83" t="s">
        <v>36</v>
      </c>
    </row>
    <row r="84" spans="1:35" x14ac:dyDescent="0.3">
      <c r="A84" t="s">
        <v>423</v>
      </c>
      <c r="B84" s="1">
        <v>45585</v>
      </c>
      <c r="C84" s="1" t="str">
        <f>TEXT(Data_Analyst_Intern_Nikhil_Kumar_February2026[[#This Row],[Order Date]], "mmmm")</f>
        <v>October</v>
      </c>
      <c r="D84" s="23">
        <f>WEEKNUM(Data_Analyst_Intern_Nikhil_Kumar_February2026[[#This Row],[Order Date]],2)</f>
        <v>42</v>
      </c>
      <c r="E84" s="23" t="str">
        <f>TEXT(Data_Analyst_Intern_Nikhil_Kumar_February2026[[#This Row],[Order Date]],"dddd")</f>
        <v>Sunday</v>
      </c>
      <c r="F84" s="1">
        <v>45579</v>
      </c>
      <c r="G84" s="23" t="str">
        <f>TEXT(WEEKDAY(Data_Analyst_Intern_Nikhil_Kumar_February2026[[#This Row],[Order Date]],2), "dddd")</f>
        <v>Saturday</v>
      </c>
      <c r="H84" t="s">
        <v>424</v>
      </c>
      <c r="I84" t="s">
        <v>25</v>
      </c>
      <c r="J84" t="s">
        <v>425</v>
      </c>
      <c r="K84" t="s">
        <v>62</v>
      </c>
      <c r="L84" t="s">
        <v>198</v>
      </c>
      <c r="M84" s="2">
        <v>5499</v>
      </c>
      <c r="N84">
        <v>1</v>
      </c>
      <c r="O84" s="2">
        <v>5499</v>
      </c>
      <c r="P84" t="s">
        <v>64</v>
      </c>
      <c r="Q84">
        <v>15</v>
      </c>
      <c r="R84" s="4">
        <f>IFERROR(Data_Analyst_Intern_Nikhil_Kumar_February2026[[#This Row],[Total]]/Data_Analyst_Intern_Nikhil_Kumar_February2026[[#This Row],[Discount(%)]],0)</f>
        <v>366.6</v>
      </c>
      <c r="S84" s="2">
        <f>Data_Analyst_Intern_Nikhil_Kumar_February2026[[#This Row],[Total]]-Data_Analyst_Intern_Nikhil_Kumar_February2026[[#This Row],[Discount Amount]]</f>
        <v>5132.3999999999996</v>
      </c>
      <c r="T84" t="s">
        <v>44</v>
      </c>
      <c r="U84" t="s">
        <v>45</v>
      </c>
      <c r="V84" t="s">
        <v>199</v>
      </c>
      <c r="W84" t="s">
        <v>58</v>
      </c>
      <c r="X84" t="s">
        <v>57</v>
      </c>
      <c r="Y84" s="1">
        <v>45599</v>
      </c>
      <c r="Z84" s="3">
        <f>Data_Analyst_Intern_Nikhil_Kumar_February2026[[#This Row],[Del Date]]-Data_Analyst_Intern_Nikhil_Kumar_February2026[[#This Row],[Order Date]]</f>
        <v>14</v>
      </c>
      <c r="AA84" s="3" t="str" cm="1">
        <f t="array" ref="AA84">_xlfn.IFS(Data_Analyst_Intern_Nikhil_Kumar_February2026[[#This Row],[Del Days]]&lt;=7,"Fast",Data_Analyst_Intern_Nikhil_Kumar_February2026[[#This Row],[Del Days]]&lt;=15,"Standard",Data_Analyst_Intern_Nikhil_Kumar_February2026[[#This Row],[Del Days]]&gt;15,"Slow")</f>
        <v>Standard</v>
      </c>
      <c r="AB84" t="s">
        <v>34</v>
      </c>
      <c r="AC84">
        <f>IF(Data_Analyst_Intern_Nikhil_Kumar_February2026[[#This Row],[Status]]="RTO", 1,0)</f>
        <v>0</v>
      </c>
      <c r="AD84">
        <f>IF(Data_Analyst_Intern_Nikhil_Kumar_February2026[[#This Row],[Status]]="Delivered",1,0)</f>
        <v>1</v>
      </c>
      <c r="AE84" t="s">
        <v>47</v>
      </c>
      <c r="AF84">
        <f>IF(AND(Data_Analyst_Intern_Nikhil_Kumar_February2026[[#This Row],[Status]]="Delivered",Data_Analyst_Intern_Nikhil_Kumar_February2026[[#This Row],[Return?]]="Yes"),1,0)</f>
        <v>1</v>
      </c>
      <c r="AG84" t="s">
        <v>48</v>
      </c>
      <c r="AH84" s="1">
        <v>45627</v>
      </c>
      <c r="AI84" t="s">
        <v>49</v>
      </c>
    </row>
    <row r="85" spans="1:35" x14ac:dyDescent="0.3">
      <c r="A85" t="s">
        <v>426</v>
      </c>
      <c r="B85" s="1">
        <v>45586</v>
      </c>
      <c r="C85" s="1" t="str">
        <f>TEXT(Data_Analyst_Intern_Nikhil_Kumar_February2026[[#This Row],[Order Date]], "mmmm")</f>
        <v>October</v>
      </c>
      <c r="D85" s="23">
        <f>WEEKNUM(Data_Analyst_Intern_Nikhil_Kumar_February2026[[#This Row],[Order Date]],2)</f>
        <v>43</v>
      </c>
      <c r="E85" s="23" t="str">
        <f>TEXT(Data_Analyst_Intern_Nikhil_Kumar_February2026[[#This Row],[Order Date]],"dddd")</f>
        <v>Monday</v>
      </c>
      <c r="F85" s="1">
        <v>45586</v>
      </c>
      <c r="G85" s="23" t="str">
        <f>TEXT(WEEKDAY(Data_Analyst_Intern_Nikhil_Kumar_February2026[[#This Row],[Order Date]],2), "dddd")</f>
        <v>Sunday</v>
      </c>
      <c r="H85" t="s">
        <v>427</v>
      </c>
      <c r="I85" t="s">
        <v>25</v>
      </c>
      <c r="J85" t="s">
        <v>428</v>
      </c>
      <c r="K85" t="s">
        <v>72</v>
      </c>
      <c r="L85" t="s">
        <v>429</v>
      </c>
      <c r="M85" s="2">
        <v>799</v>
      </c>
      <c r="N85">
        <v>1</v>
      </c>
      <c r="O85" s="2">
        <v>799</v>
      </c>
      <c r="P85" t="s">
        <v>29</v>
      </c>
      <c r="Q85">
        <v>0</v>
      </c>
      <c r="R85" s="4">
        <f>IFERROR(Data_Analyst_Intern_Nikhil_Kumar_February2026[[#This Row],[Total]]/Data_Analyst_Intern_Nikhil_Kumar_February2026[[#This Row],[Discount(%)]],0)</f>
        <v>0</v>
      </c>
      <c r="S85" s="2">
        <f>Data_Analyst_Intern_Nikhil_Kumar_February2026[[#This Row],[Total]]-Data_Analyst_Intern_Nikhil_Kumar_February2026[[#This Row],[Discount Amount]]</f>
        <v>799</v>
      </c>
      <c r="T85" t="s">
        <v>56</v>
      </c>
      <c r="U85" t="s">
        <v>31</v>
      </c>
      <c r="V85" t="s">
        <v>204</v>
      </c>
      <c r="W85" t="s">
        <v>98</v>
      </c>
      <c r="X85" t="s">
        <v>32</v>
      </c>
      <c r="Y85" s="1"/>
      <c r="Z85" s="1">
        <f>Data_Analyst_Intern_Nikhil_Kumar_February2026[[#This Row],[Del Date]]-Data_Analyst_Intern_Nikhil_Kumar_February2026[[#This Row],[Order Date]]</f>
        <v>-45586</v>
      </c>
      <c r="AA85" s="1" t="str" cm="1">
        <f t="array" ref="AA85">_xlfn.IFS(Data_Analyst_Intern_Nikhil_Kumar_February2026[[#This Row],[Del Days]]&lt;=7,"Fast",Data_Analyst_Intern_Nikhil_Kumar_February2026[[#This Row],[Del Days]]&lt;=15,"Standard",Data_Analyst_Intern_Nikhil_Kumar_February2026[[#This Row],[Del Days]]&gt;15,"Slow")</f>
        <v>Fast</v>
      </c>
      <c r="AB85" t="s">
        <v>121</v>
      </c>
      <c r="AC85">
        <f>IF(Data_Analyst_Intern_Nikhil_Kumar_February2026[[#This Row],[Status]]="RTO", 1,0)</f>
        <v>1</v>
      </c>
      <c r="AD85">
        <f>IF(Data_Analyst_Intern_Nikhil_Kumar_February2026[[#This Row],[Status]]="Delivered",1,0)</f>
        <v>0</v>
      </c>
      <c r="AE85" t="s">
        <v>35</v>
      </c>
      <c r="AF85">
        <f>IF(AND(Data_Analyst_Intern_Nikhil_Kumar_February2026[[#This Row],[Status]]="Delivered",Data_Analyst_Intern_Nikhil_Kumar_February2026[[#This Row],[Return?]]="Yes"),1,0)</f>
        <v>0</v>
      </c>
      <c r="AG85" t="s">
        <v>29</v>
      </c>
      <c r="AI85" t="s">
        <v>36</v>
      </c>
    </row>
    <row r="86" spans="1:35" x14ac:dyDescent="0.3">
      <c r="A86" t="s">
        <v>430</v>
      </c>
      <c r="B86" s="1">
        <v>45586</v>
      </c>
      <c r="C86" s="1" t="str">
        <f>TEXT(Data_Analyst_Intern_Nikhil_Kumar_February2026[[#This Row],[Order Date]], "mmmm")</f>
        <v>October</v>
      </c>
      <c r="D86" s="23">
        <f>WEEKNUM(Data_Analyst_Intern_Nikhil_Kumar_February2026[[#This Row],[Order Date]],2)</f>
        <v>43</v>
      </c>
      <c r="E86" s="23" t="str">
        <f>TEXT(Data_Analyst_Intern_Nikhil_Kumar_February2026[[#This Row],[Order Date]],"dddd")</f>
        <v>Monday</v>
      </c>
      <c r="F86" s="1">
        <v>45586</v>
      </c>
      <c r="G86" s="23" t="str">
        <f>TEXT(WEEKDAY(Data_Analyst_Intern_Nikhil_Kumar_February2026[[#This Row],[Order Date]],2), "dddd")</f>
        <v>Sunday</v>
      </c>
      <c r="H86" t="s">
        <v>431</v>
      </c>
      <c r="I86" t="s">
        <v>25</v>
      </c>
      <c r="J86" t="s">
        <v>432</v>
      </c>
      <c r="K86" t="s">
        <v>54</v>
      </c>
      <c r="L86" t="s">
        <v>433</v>
      </c>
      <c r="M86" s="2">
        <v>1599</v>
      </c>
      <c r="N86">
        <v>1</v>
      </c>
      <c r="O86" s="2">
        <v>1599</v>
      </c>
      <c r="P86" t="s">
        <v>29</v>
      </c>
      <c r="Q86">
        <v>0</v>
      </c>
      <c r="R86" s="4">
        <f>IFERROR(Data_Analyst_Intern_Nikhil_Kumar_February2026[[#This Row],[Total]]/Data_Analyst_Intern_Nikhil_Kumar_February2026[[#This Row],[Discount(%)]],0)</f>
        <v>0</v>
      </c>
      <c r="S86" s="2">
        <f>Data_Analyst_Intern_Nikhil_Kumar_February2026[[#This Row],[Total]]-Data_Analyst_Intern_Nikhil_Kumar_February2026[[#This Row],[Discount Amount]]</f>
        <v>1599</v>
      </c>
      <c r="T86" t="s">
        <v>112</v>
      </c>
      <c r="U86" t="s">
        <v>66</v>
      </c>
      <c r="V86" t="s">
        <v>209</v>
      </c>
      <c r="W86" t="s">
        <v>98</v>
      </c>
      <c r="X86" t="s">
        <v>32</v>
      </c>
      <c r="Y86" s="1">
        <v>45598</v>
      </c>
      <c r="Z86" s="3">
        <f>Data_Analyst_Intern_Nikhil_Kumar_February2026[[#This Row],[Del Date]]-Data_Analyst_Intern_Nikhil_Kumar_February2026[[#This Row],[Order Date]]</f>
        <v>12</v>
      </c>
      <c r="AA86" s="3" t="str" cm="1">
        <f t="array" ref="AA86">_xlfn.IFS(Data_Analyst_Intern_Nikhil_Kumar_February2026[[#This Row],[Del Days]]&lt;=7,"Fast",Data_Analyst_Intern_Nikhil_Kumar_February2026[[#This Row],[Del Days]]&lt;=15,"Standard",Data_Analyst_Intern_Nikhil_Kumar_February2026[[#This Row],[Del Days]]&gt;15,"Slow")</f>
        <v>Standard</v>
      </c>
      <c r="AB86" t="s">
        <v>34</v>
      </c>
      <c r="AC86">
        <f>IF(Data_Analyst_Intern_Nikhil_Kumar_February2026[[#This Row],[Status]]="RTO", 1,0)</f>
        <v>0</v>
      </c>
      <c r="AD86">
        <f>IF(Data_Analyst_Intern_Nikhil_Kumar_February2026[[#This Row],[Status]]="Delivered",1,0)</f>
        <v>1</v>
      </c>
      <c r="AE86" t="s">
        <v>35</v>
      </c>
      <c r="AF86">
        <f>IF(AND(Data_Analyst_Intern_Nikhil_Kumar_February2026[[#This Row],[Status]]="Delivered",Data_Analyst_Intern_Nikhil_Kumar_February2026[[#This Row],[Return?]]="Yes"),1,0)</f>
        <v>0</v>
      </c>
      <c r="AG86" t="s">
        <v>29</v>
      </c>
      <c r="AI86" t="s">
        <v>36</v>
      </c>
    </row>
    <row r="87" spans="1:35" x14ac:dyDescent="0.3">
      <c r="A87" t="s">
        <v>434</v>
      </c>
      <c r="B87" s="1">
        <v>45586</v>
      </c>
      <c r="C87" s="1" t="str">
        <f>TEXT(Data_Analyst_Intern_Nikhil_Kumar_February2026[[#This Row],[Order Date]], "mmmm")</f>
        <v>October</v>
      </c>
      <c r="D87" s="23">
        <f>WEEKNUM(Data_Analyst_Intern_Nikhil_Kumar_February2026[[#This Row],[Order Date]],2)</f>
        <v>43</v>
      </c>
      <c r="E87" s="23" t="str">
        <f>TEXT(Data_Analyst_Intern_Nikhil_Kumar_February2026[[#This Row],[Order Date]],"dddd")</f>
        <v>Monday</v>
      </c>
      <c r="F87" s="1">
        <v>45586</v>
      </c>
      <c r="G87" s="23" t="str">
        <f>TEXT(WEEKDAY(Data_Analyst_Intern_Nikhil_Kumar_February2026[[#This Row],[Order Date]],2), "dddd")</f>
        <v>Sunday</v>
      </c>
      <c r="H87" t="s">
        <v>435</v>
      </c>
      <c r="I87" t="s">
        <v>39</v>
      </c>
      <c r="J87" t="s">
        <v>436</v>
      </c>
      <c r="K87" t="s">
        <v>41</v>
      </c>
      <c r="L87" t="s">
        <v>437</v>
      </c>
      <c r="M87" s="2">
        <v>2699</v>
      </c>
      <c r="N87">
        <v>1</v>
      </c>
      <c r="O87" s="2">
        <v>2699</v>
      </c>
      <c r="P87" t="s">
        <v>43</v>
      </c>
      <c r="Q87">
        <v>20</v>
      </c>
      <c r="R87" s="4">
        <f>IFERROR(Data_Analyst_Intern_Nikhil_Kumar_February2026[[#This Row],[Total]]/Data_Analyst_Intern_Nikhil_Kumar_February2026[[#This Row],[Discount(%)]],0)</f>
        <v>134.94999999999999</v>
      </c>
      <c r="S87" s="2">
        <f>Data_Analyst_Intern_Nikhil_Kumar_February2026[[#This Row],[Total]]-Data_Analyst_Intern_Nikhil_Kumar_February2026[[#This Row],[Discount Amount]]</f>
        <v>2564.0500000000002</v>
      </c>
      <c r="T87" t="s">
        <v>44</v>
      </c>
      <c r="U87" t="s">
        <v>45</v>
      </c>
      <c r="V87" t="s">
        <v>214</v>
      </c>
      <c r="W87" t="s">
        <v>114</v>
      </c>
      <c r="X87" t="s">
        <v>46</v>
      </c>
      <c r="Y87" s="1">
        <v>45597</v>
      </c>
      <c r="Z87" s="3">
        <f>Data_Analyst_Intern_Nikhil_Kumar_February2026[[#This Row],[Del Date]]-Data_Analyst_Intern_Nikhil_Kumar_February2026[[#This Row],[Order Date]]</f>
        <v>11</v>
      </c>
      <c r="AA87" s="3" t="str" cm="1">
        <f t="array" ref="AA87">_xlfn.IFS(Data_Analyst_Intern_Nikhil_Kumar_February2026[[#This Row],[Del Days]]&lt;=7,"Fast",Data_Analyst_Intern_Nikhil_Kumar_February2026[[#This Row],[Del Days]]&lt;=15,"Standard",Data_Analyst_Intern_Nikhil_Kumar_February2026[[#This Row],[Del Days]]&gt;15,"Slow")</f>
        <v>Standard</v>
      </c>
      <c r="AB87" t="s">
        <v>34</v>
      </c>
      <c r="AC87">
        <f>IF(Data_Analyst_Intern_Nikhil_Kumar_February2026[[#This Row],[Status]]="RTO", 1,0)</f>
        <v>0</v>
      </c>
      <c r="AD87">
        <f>IF(Data_Analyst_Intern_Nikhil_Kumar_February2026[[#This Row],[Status]]="Delivered",1,0)</f>
        <v>1</v>
      </c>
      <c r="AE87" t="s">
        <v>47</v>
      </c>
      <c r="AF87">
        <f>IF(AND(Data_Analyst_Intern_Nikhil_Kumar_February2026[[#This Row],[Status]]="Delivered",Data_Analyst_Intern_Nikhil_Kumar_February2026[[#This Row],[Return?]]="Yes"),1,0)</f>
        <v>1</v>
      </c>
      <c r="AG87" t="s">
        <v>69</v>
      </c>
      <c r="AH87" s="1">
        <v>45626</v>
      </c>
      <c r="AI87" t="s">
        <v>49</v>
      </c>
    </row>
    <row r="88" spans="1:35" x14ac:dyDescent="0.3">
      <c r="A88" t="s">
        <v>438</v>
      </c>
      <c r="B88" s="1">
        <v>45586</v>
      </c>
      <c r="C88" s="1" t="str">
        <f>TEXT(Data_Analyst_Intern_Nikhil_Kumar_February2026[[#This Row],[Order Date]], "mmmm")</f>
        <v>October</v>
      </c>
      <c r="D88" s="23">
        <f>WEEKNUM(Data_Analyst_Intern_Nikhil_Kumar_February2026[[#This Row],[Order Date]],2)</f>
        <v>43</v>
      </c>
      <c r="E88" s="23" t="str">
        <f>TEXT(Data_Analyst_Intern_Nikhil_Kumar_February2026[[#This Row],[Order Date]],"dddd")</f>
        <v>Monday</v>
      </c>
      <c r="F88" s="1">
        <v>45586</v>
      </c>
      <c r="G88" s="23" t="str">
        <f>TEXT(WEEKDAY(Data_Analyst_Intern_Nikhil_Kumar_February2026[[#This Row],[Order Date]],2), "dddd")</f>
        <v>Sunday</v>
      </c>
      <c r="H88" t="s">
        <v>439</v>
      </c>
      <c r="I88" t="s">
        <v>25</v>
      </c>
      <c r="J88" t="s">
        <v>440</v>
      </c>
      <c r="K88" t="s">
        <v>27</v>
      </c>
      <c r="L88" t="s">
        <v>441</v>
      </c>
      <c r="M88" s="2">
        <v>1499</v>
      </c>
      <c r="N88">
        <v>1</v>
      </c>
      <c r="O88" s="2">
        <v>1499</v>
      </c>
      <c r="P88" t="s">
        <v>29</v>
      </c>
      <c r="Q88">
        <v>0</v>
      </c>
      <c r="R88" s="4">
        <f>IFERROR(Data_Analyst_Intern_Nikhil_Kumar_February2026[[#This Row],[Total]]/Data_Analyst_Intern_Nikhil_Kumar_February2026[[#This Row],[Discount(%)]],0)</f>
        <v>0</v>
      </c>
      <c r="S88" s="2">
        <f>Data_Analyst_Intern_Nikhil_Kumar_February2026[[#This Row],[Total]]-Data_Analyst_Intern_Nikhil_Kumar_February2026[[#This Row],[Discount Amount]]</f>
        <v>1499</v>
      </c>
      <c r="T88" t="s">
        <v>30</v>
      </c>
      <c r="U88" t="s">
        <v>31</v>
      </c>
      <c r="V88" t="s">
        <v>32</v>
      </c>
      <c r="W88" t="s">
        <v>33</v>
      </c>
      <c r="X88" t="s">
        <v>32</v>
      </c>
      <c r="Y88" s="1">
        <v>45598</v>
      </c>
      <c r="Z88" s="3">
        <f>Data_Analyst_Intern_Nikhil_Kumar_February2026[[#This Row],[Del Date]]-Data_Analyst_Intern_Nikhil_Kumar_February2026[[#This Row],[Order Date]]</f>
        <v>12</v>
      </c>
      <c r="AA88" s="3" t="str" cm="1">
        <f t="array" ref="AA88">_xlfn.IFS(Data_Analyst_Intern_Nikhil_Kumar_February2026[[#This Row],[Del Days]]&lt;=7,"Fast",Data_Analyst_Intern_Nikhil_Kumar_February2026[[#This Row],[Del Days]]&lt;=15,"Standard",Data_Analyst_Intern_Nikhil_Kumar_February2026[[#This Row],[Del Days]]&gt;15,"Slow")</f>
        <v>Standard</v>
      </c>
      <c r="AB88" t="s">
        <v>34</v>
      </c>
      <c r="AC88">
        <f>IF(Data_Analyst_Intern_Nikhil_Kumar_February2026[[#This Row],[Status]]="RTO", 1,0)</f>
        <v>0</v>
      </c>
      <c r="AD88">
        <f>IF(Data_Analyst_Intern_Nikhil_Kumar_February2026[[#This Row],[Status]]="Delivered",1,0)</f>
        <v>1</v>
      </c>
      <c r="AE88" t="s">
        <v>35</v>
      </c>
      <c r="AF88">
        <f>IF(AND(Data_Analyst_Intern_Nikhil_Kumar_February2026[[#This Row],[Status]]="Delivered",Data_Analyst_Intern_Nikhil_Kumar_February2026[[#This Row],[Return?]]="Yes"),1,0)</f>
        <v>0</v>
      </c>
      <c r="AG88" t="s">
        <v>29</v>
      </c>
      <c r="AI88" t="s">
        <v>36</v>
      </c>
    </row>
    <row r="89" spans="1:35" x14ac:dyDescent="0.3">
      <c r="A89" t="s">
        <v>442</v>
      </c>
      <c r="B89" s="1">
        <v>45587</v>
      </c>
      <c r="C89" s="1" t="str">
        <f>TEXT(Data_Analyst_Intern_Nikhil_Kumar_February2026[[#This Row],[Order Date]], "mmmm")</f>
        <v>October</v>
      </c>
      <c r="D89" s="23">
        <f>WEEKNUM(Data_Analyst_Intern_Nikhil_Kumar_February2026[[#This Row],[Order Date]],2)</f>
        <v>43</v>
      </c>
      <c r="E89" s="23" t="str">
        <f>TEXT(Data_Analyst_Intern_Nikhil_Kumar_February2026[[#This Row],[Order Date]],"dddd")</f>
        <v>Tuesday</v>
      </c>
      <c r="F89" s="1">
        <v>45586</v>
      </c>
      <c r="G89" s="23" t="str">
        <f>TEXT(WEEKDAY(Data_Analyst_Intern_Nikhil_Kumar_February2026[[#This Row],[Order Date]],2), "dddd")</f>
        <v>Monday</v>
      </c>
      <c r="H89" t="s">
        <v>443</v>
      </c>
      <c r="I89" t="s">
        <v>25</v>
      </c>
      <c r="J89" t="s">
        <v>444</v>
      </c>
      <c r="K89" t="s">
        <v>62</v>
      </c>
      <c r="L89" t="s">
        <v>445</v>
      </c>
      <c r="M89" s="2">
        <v>3299</v>
      </c>
      <c r="N89">
        <v>1</v>
      </c>
      <c r="O89" s="2">
        <v>3299</v>
      </c>
      <c r="P89" t="s">
        <v>29</v>
      </c>
      <c r="Q89">
        <v>0</v>
      </c>
      <c r="R89" s="4">
        <f>IFERROR(Data_Analyst_Intern_Nikhil_Kumar_February2026[[#This Row],[Total]]/Data_Analyst_Intern_Nikhil_Kumar_February2026[[#This Row],[Discount(%)]],0)</f>
        <v>0</v>
      </c>
      <c r="S89" s="2">
        <f>Data_Analyst_Intern_Nikhil_Kumar_February2026[[#This Row],[Total]]-Data_Analyst_Intern_Nikhil_Kumar_February2026[[#This Row],[Discount Amount]]</f>
        <v>3299</v>
      </c>
      <c r="T89" t="s">
        <v>65</v>
      </c>
      <c r="U89" t="s">
        <v>66</v>
      </c>
      <c r="V89" t="s">
        <v>46</v>
      </c>
      <c r="W89" t="s">
        <v>46</v>
      </c>
      <c r="X89" t="s">
        <v>46</v>
      </c>
      <c r="Y89" s="1">
        <v>45600</v>
      </c>
      <c r="Z89" s="3">
        <f>Data_Analyst_Intern_Nikhil_Kumar_February2026[[#This Row],[Del Date]]-Data_Analyst_Intern_Nikhil_Kumar_February2026[[#This Row],[Order Date]]</f>
        <v>13</v>
      </c>
      <c r="AA89" s="3" t="str" cm="1">
        <f t="array" ref="AA89">_xlfn.IFS(Data_Analyst_Intern_Nikhil_Kumar_February2026[[#This Row],[Del Days]]&lt;=7,"Fast",Data_Analyst_Intern_Nikhil_Kumar_February2026[[#This Row],[Del Days]]&lt;=15,"Standard",Data_Analyst_Intern_Nikhil_Kumar_February2026[[#This Row],[Del Days]]&gt;15,"Slow")</f>
        <v>Standard</v>
      </c>
      <c r="AB89" t="s">
        <v>34</v>
      </c>
      <c r="AC89">
        <f>IF(Data_Analyst_Intern_Nikhil_Kumar_February2026[[#This Row],[Status]]="RTO", 1,0)</f>
        <v>0</v>
      </c>
      <c r="AD89">
        <f>IF(Data_Analyst_Intern_Nikhil_Kumar_February2026[[#This Row],[Status]]="Delivered",1,0)</f>
        <v>1</v>
      </c>
      <c r="AE89" t="s">
        <v>47</v>
      </c>
      <c r="AF89">
        <f>IF(AND(Data_Analyst_Intern_Nikhil_Kumar_February2026[[#This Row],[Status]]="Delivered",Data_Analyst_Intern_Nikhil_Kumar_February2026[[#This Row],[Return?]]="Yes"),1,0)</f>
        <v>1</v>
      </c>
      <c r="AG89" t="s">
        <v>105</v>
      </c>
      <c r="AH89" s="1">
        <v>45629</v>
      </c>
      <c r="AI89" t="s">
        <v>49</v>
      </c>
    </row>
    <row r="90" spans="1:35" x14ac:dyDescent="0.3">
      <c r="A90" t="s">
        <v>446</v>
      </c>
      <c r="B90" s="1">
        <v>45587</v>
      </c>
      <c r="C90" s="1" t="str">
        <f>TEXT(Data_Analyst_Intern_Nikhil_Kumar_February2026[[#This Row],[Order Date]], "mmmm")</f>
        <v>October</v>
      </c>
      <c r="D90" s="23">
        <f>WEEKNUM(Data_Analyst_Intern_Nikhil_Kumar_February2026[[#This Row],[Order Date]],2)</f>
        <v>43</v>
      </c>
      <c r="E90" s="23" t="str">
        <f>TEXT(Data_Analyst_Intern_Nikhil_Kumar_February2026[[#This Row],[Order Date]],"dddd")</f>
        <v>Tuesday</v>
      </c>
      <c r="F90" s="1">
        <v>45586</v>
      </c>
      <c r="G90" s="23" t="str">
        <f>TEXT(WEEKDAY(Data_Analyst_Intern_Nikhil_Kumar_February2026[[#This Row],[Order Date]],2), "dddd")</f>
        <v>Monday</v>
      </c>
      <c r="H90" t="s">
        <v>447</v>
      </c>
      <c r="I90" t="s">
        <v>25</v>
      </c>
      <c r="J90" t="s">
        <v>448</v>
      </c>
      <c r="K90" t="s">
        <v>72</v>
      </c>
      <c r="L90" t="s">
        <v>449</v>
      </c>
      <c r="M90" s="2">
        <v>499</v>
      </c>
      <c r="N90">
        <v>2</v>
      </c>
      <c r="O90" s="2">
        <v>998</v>
      </c>
      <c r="P90" t="s">
        <v>111</v>
      </c>
      <c r="Q90">
        <v>10</v>
      </c>
      <c r="R90" s="4">
        <f>IFERROR(Data_Analyst_Intern_Nikhil_Kumar_February2026[[#This Row],[Total]]/Data_Analyst_Intern_Nikhil_Kumar_February2026[[#This Row],[Discount(%)]],0)</f>
        <v>99.8</v>
      </c>
      <c r="S90" s="2">
        <f>Data_Analyst_Intern_Nikhil_Kumar_February2026[[#This Row],[Total]]-Data_Analyst_Intern_Nikhil_Kumar_February2026[[#This Row],[Discount Amount]]</f>
        <v>898.2</v>
      </c>
      <c r="T90" t="s">
        <v>44</v>
      </c>
      <c r="U90" t="s">
        <v>45</v>
      </c>
      <c r="V90" t="s">
        <v>91</v>
      </c>
      <c r="W90" t="s">
        <v>92</v>
      </c>
      <c r="X90" t="s">
        <v>46</v>
      </c>
      <c r="Y90" s="1">
        <v>45597</v>
      </c>
      <c r="Z90" s="3">
        <f>Data_Analyst_Intern_Nikhil_Kumar_February2026[[#This Row],[Del Date]]-Data_Analyst_Intern_Nikhil_Kumar_February2026[[#This Row],[Order Date]]</f>
        <v>10</v>
      </c>
      <c r="AA90" s="3" t="str" cm="1">
        <f t="array" ref="AA90">_xlfn.IFS(Data_Analyst_Intern_Nikhil_Kumar_February2026[[#This Row],[Del Days]]&lt;=7,"Fast",Data_Analyst_Intern_Nikhil_Kumar_February2026[[#This Row],[Del Days]]&lt;=15,"Standard",Data_Analyst_Intern_Nikhil_Kumar_February2026[[#This Row],[Del Days]]&gt;15,"Slow")</f>
        <v>Standard</v>
      </c>
      <c r="AB90" t="s">
        <v>34</v>
      </c>
      <c r="AC90">
        <f>IF(Data_Analyst_Intern_Nikhil_Kumar_February2026[[#This Row],[Status]]="RTO", 1,0)</f>
        <v>0</v>
      </c>
      <c r="AD90">
        <f>IF(Data_Analyst_Intern_Nikhil_Kumar_February2026[[#This Row],[Status]]="Delivered",1,0)</f>
        <v>1</v>
      </c>
      <c r="AE90" t="s">
        <v>35</v>
      </c>
      <c r="AF90">
        <f>IF(AND(Data_Analyst_Intern_Nikhil_Kumar_February2026[[#This Row],[Status]]="Delivered",Data_Analyst_Intern_Nikhil_Kumar_February2026[[#This Row],[Return?]]="Yes"),1,0)</f>
        <v>0</v>
      </c>
      <c r="AG90" t="s">
        <v>29</v>
      </c>
      <c r="AI90" t="s">
        <v>36</v>
      </c>
    </row>
    <row r="91" spans="1:35" x14ac:dyDescent="0.3">
      <c r="A91" t="s">
        <v>450</v>
      </c>
      <c r="B91" s="1">
        <v>45587</v>
      </c>
      <c r="C91" s="1" t="str">
        <f>TEXT(Data_Analyst_Intern_Nikhil_Kumar_February2026[[#This Row],[Order Date]], "mmmm")</f>
        <v>October</v>
      </c>
      <c r="D91" s="23">
        <f>WEEKNUM(Data_Analyst_Intern_Nikhil_Kumar_February2026[[#This Row],[Order Date]],2)</f>
        <v>43</v>
      </c>
      <c r="E91" s="23" t="str">
        <f>TEXT(Data_Analyst_Intern_Nikhil_Kumar_February2026[[#This Row],[Order Date]],"dddd")</f>
        <v>Tuesday</v>
      </c>
      <c r="F91" s="1">
        <v>45586</v>
      </c>
      <c r="G91" s="23" t="str">
        <f>TEXT(WEEKDAY(Data_Analyst_Intern_Nikhil_Kumar_February2026[[#This Row],[Order Date]],2), "dddd")</f>
        <v>Monday</v>
      </c>
      <c r="H91" t="s">
        <v>451</v>
      </c>
      <c r="I91" t="s">
        <v>39</v>
      </c>
      <c r="J91" t="s">
        <v>452</v>
      </c>
      <c r="K91" t="s">
        <v>54</v>
      </c>
      <c r="L91" t="s">
        <v>453</v>
      </c>
      <c r="M91" s="2">
        <v>2399</v>
      </c>
      <c r="N91">
        <v>1</v>
      </c>
      <c r="O91" s="2">
        <v>2399</v>
      </c>
      <c r="P91" t="s">
        <v>29</v>
      </c>
      <c r="Q91">
        <v>0</v>
      </c>
      <c r="R91" s="4">
        <f>IFERROR(Data_Analyst_Intern_Nikhil_Kumar_February2026[[#This Row],[Total]]/Data_Analyst_Intern_Nikhil_Kumar_February2026[[#This Row],[Discount(%)]],0)</f>
        <v>0</v>
      </c>
      <c r="S91" s="2">
        <f>Data_Analyst_Intern_Nikhil_Kumar_February2026[[#This Row],[Total]]-Data_Analyst_Intern_Nikhil_Kumar_February2026[[#This Row],[Discount Amount]]</f>
        <v>2399</v>
      </c>
      <c r="T91" t="s">
        <v>30</v>
      </c>
      <c r="U91" t="s">
        <v>31</v>
      </c>
      <c r="V91" t="s">
        <v>67</v>
      </c>
      <c r="W91" t="s">
        <v>68</v>
      </c>
      <c r="X91" t="s">
        <v>57</v>
      </c>
      <c r="Y91" s="1">
        <v>45599</v>
      </c>
      <c r="Z91" s="3">
        <f>Data_Analyst_Intern_Nikhil_Kumar_February2026[[#This Row],[Del Date]]-Data_Analyst_Intern_Nikhil_Kumar_February2026[[#This Row],[Order Date]]</f>
        <v>12</v>
      </c>
      <c r="AA91" s="3" t="str" cm="1">
        <f t="array" ref="AA91">_xlfn.IFS(Data_Analyst_Intern_Nikhil_Kumar_February2026[[#This Row],[Del Days]]&lt;=7,"Fast",Data_Analyst_Intern_Nikhil_Kumar_February2026[[#This Row],[Del Days]]&lt;=15,"Standard",Data_Analyst_Intern_Nikhil_Kumar_February2026[[#This Row],[Del Days]]&gt;15,"Slow")</f>
        <v>Standard</v>
      </c>
      <c r="AB91" t="s">
        <v>34</v>
      </c>
      <c r="AC91">
        <f>IF(Data_Analyst_Intern_Nikhil_Kumar_February2026[[#This Row],[Status]]="RTO", 1,0)</f>
        <v>0</v>
      </c>
      <c r="AD91">
        <f>IF(Data_Analyst_Intern_Nikhil_Kumar_February2026[[#This Row],[Status]]="Delivered",1,0)</f>
        <v>1</v>
      </c>
      <c r="AE91" t="s">
        <v>35</v>
      </c>
      <c r="AF91">
        <f>IF(AND(Data_Analyst_Intern_Nikhil_Kumar_February2026[[#This Row],[Status]]="Delivered",Data_Analyst_Intern_Nikhil_Kumar_February2026[[#This Row],[Return?]]="Yes"),1,0)</f>
        <v>0</v>
      </c>
      <c r="AG91" t="s">
        <v>29</v>
      </c>
      <c r="AI91" t="s">
        <v>36</v>
      </c>
    </row>
    <row r="92" spans="1:35" x14ac:dyDescent="0.3">
      <c r="A92" t="s">
        <v>454</v>
      </c>
      <c r="B92" s="1">
        <v>45587</v>
      </c>
      <c r="C92" s="1" t="str">
        <f>TEXT(Data_Analyst_Intern_Nikhil_Kumar_February2026[[#This Row],[Order Date]], "mmmm")</f>
        <v>October</v>
      </c>
      <c r="D92" s="23">
        <f>WEEKNUM(Data_Analyst_Intern_Nikhil_Kumar_February2026[[#This Row],[Order Date]],2)</f>
        <v>43</v>
      </c>
      <c r="E92" s="23" t="str">
        <f>TEXT(Data_Analyst_Intern_Nikhil_Kumar_February2026[[#This Row],[Order Date]],"dddd")</f>
        <v>Tuesday</v>
      </c>
      <c r="F92" s="1">
        <v>45586</v>
      </c>
      <c r="G92" s="23" t="str">
        <f>TEXT(WEEKDAY(Data_Analyst_Intern_Nikhil_Kumar_February2026[[#This Row],[Order Date]],2), "dddd")</f>
        <v>Monday</v>
      </c>
      <c r="H92" t="s">
        <v>455</v>
      </c>
      <c r="I92" t="s">
        <v>25</v>
      </c>
      <c r="J92" t="s">
        <v>456</v>
      </c>
      <c r="K92" t="s">
        <v>41</v>
      </c>
      <c r="L92" t="s">
        <v>457</v>
      </c>
      <c r="M92" s="2">
        <v>2599</v>
      </c>
      <c r="N92">
        <v>1</v>
      </c>
      <c r="O92" s="2">
        <v>2599</v>
      </c>
      <c r="P92" t="s">
        <v>29</v>
      </c>
      <c r="Q92">
        <v>0</v>
      </c>
      <c r="R92" s="4">
        <f>IFERROR(Data_Analyst_Intern_Nikhil_Kumar_February2026[[#This Row],[Total]]/Data_Analyst_Intern_Nikhil_Kumar_February2026[[#This Row],[Discount(%)]],0)</f>
        <v>0</v>
      </c>
      <c r="S92" s="2">
        <f>Data_Analyst_Intern_Nikhil_Kumar_February2026[[#This Row],[Total]]-Data_Analyst_Intern_Nikhil_Kumar_February2026[[#This Row],[Discount Amount]]</f>
        <v>2599</v>
      </c>
      <c r="T92" t="s">
        <v>56</v>
      </c>
      <c r="U92" t="s">
        <v>66</v>
      </c>
      <c r="V92" t="s">
        <v>78</v>
      </c>
      <c r="W92" t="s">
        <v>79</v>
      </c>
      <c r="X92" t="s">
        <v>57</v>
      </c>
      <c r="Y92" s="1"/>
      <c r="Z92" s="1">
        <f>Data_Analyst_Intern_Nikhil_Kumar_February2026[[#This Row],[Del Date]]-Data_Analyst_Intern_Nikhil_Kumar_February2026[[#This Row],[Order Date]]</f>
        <v>-45587</v>
      </c>
      <c r="AA92" s="1" t="str" cm="1">
        <f t="array" ref="AA92">_xlfn.IFS(Data_Analyst_Intern_Nikhil_Kumar_February2026[[#This Row],[Del Days]]&lt;=7,"Fast",Data_Analyst_Intern_Nikhil_Kumar_February2026[[#This Row],[Del Days]]&lt;=15,"Standard",Data_Analyst_Intern_Nikhil_Kumar_February2026[[#This Row],[Del Days]]&gt;15,"Slow")</f>
        <v>Fast</v>
      </c>
      <c r="AB92" t="s">
        <v>121</v>
      </c>
      <c r="AC92">
        <f>IF(Data_Analyst_Intern_Nikhil_Kumar_February2026[[#This Row],[Status]]="RTO", 1,0)</f>
        <v>1</v>
      </c>
      <c r="AD92">
        <f>IF(Data_Analyst_Intern_Nikhil_Kumar_February2026[[#This Row],[Status]]="Delivered",1,0)</f>
        <v>0</v>
      </c>
      <c r="AE92" t="s">
        <v>35</v>
      </c>
      <c r="AF92">
        <f>IF(AND(Data_Analyst_Intern_Nikhil_Kumar_February2026[[#This Row],[Status]]="Delivered",Data_Analyst_Intern_Nikhil_Kumar_February2026[[#This Row],[Return?]]="Yes"),1,0)</f>
        <v>0</v>
      </c>
      <c r="AG92" t="s">
        <v>29</v>
      </c>
      <c r="AI92" t="s">
        <v>36</v>
      </c>
    </row>
    <row r="93" spans="1:35" x14ac:dyDescent="0.3">
      <c r="A93" t="s">
        <v>458</v>
      </c>
      <c r="B93" s="1">
        <v>45588</v>
      </c>
      <c r="C93" s="1" t="str">
        <f>TEXT(Data_Analyst_Intern_Nikhil_Kumar_February2026[[#This Row],[Order Date]], "mmmm")</f>
        <v>October</v>
      </c>
      <c r="D93" s="23">
        <f>WEEKNUM(Data_Analyst_Intern_Nikhil_Kumar_February2026[[#This Row],[Order Date]],2)</f>
        <v>43</v>
      </c>
      <c r="E93" s="23" t="str">
        <f>TEXT(Data_Analyst_Intern_Nikhil_Kumar_February2026[[#This Row],[Order Date]],"dddd")</f>
        <v>Wednesday</v>
      </c>
      <c r="F93" s="1">
        <v>45586</v>
      </c>
      <c r="G93" s="23" t="str">
        <f>TEXT(WEEKDAY(Data_Analyst_Intern_Nikhil_Kumar_February2026[[#This Row],[Order Date]],2), "dddd")</f>
        <v>Tuesday</v>
      </c>
      <c r="H93" t="s">
        <v>459</v>
      </c>
      <c r="I93" t="s">
        <v>25</v>
      </c>
      <c r="J93" t="s">
        <v>460</v>
      </c>
      <c r="K93" t="s">
        <v>27</v>
      </c>
      <c r="L93" t="s">
        <v>461</v>
      </c>
      <c r="M93" s="2">
        <v>1399</v>
      </c>
      <c r="N93">
        <v>1</v>
      </c>
      <c r="O93" s="2">
        <v>1399</v>
      </c>
      <c r="P93" t="s">
        <v>43</v>
      </c>
      <c r="Q93">
        <v>20</v>
      </c>
      <c r="R93" s="4">
        <f>IFERROR(Data_Analyst_Intern_Nikhil_Kumar_February2026[[#This Row],[Total]]/Data_Analyst_Intern_Nikhil_Kumar_February2026[[#This Row],[Discount(%)]],0)</f>
        <v>69.95</v>
      </c>
      <c r="S93" s="2">
        <f>Data_Analyst_Intern_Nikhil_Kumar_February2026[[#This Row],[Total]]-Data_Analyst_Intern_Nikhil_Kumar_February2026[[#This Row],[Discount Amount]]</f>
        <v>1329.05</v>
      </c>
      <c r="T93" t="s">
        <v>112</v>
      </c>
      <c r="U93" t="s">
        <v>45</v>
      </c>
      <c r="V93" t="s">
        <v>85</v>
      </c>
      <c r="W93" t="s">
        <v>33</v>
      </c>
      <c r="X93" t="s">
        <v>32</v>
      </c>
      <c r="Y93" s="1">
        <v>45599</v>
      </c>
      <c r="Z93" s="3">
        <f>Data_Analyst_Intern_Nikhil_Kumar_February2026[[#This Row],[Del Date]]-Data_Analyst_Intern_Nikhil_Kumar_February2026[[#This Row],[Order Date]]</f>
        <v>11</v>
      </c>
      <c r="AA93" s="3" t="str" cm="1">
        <f t="array" ref="AA93">_xlfn.IFS(Data_Analyst_Intern_Nikhil_Kumar_February2026[[#This Row],[Del Days]]&lt;=7,"Fast",Data_Analyst_Intern_Nikhil_Kumar_February2026[[#This Row],[Del Days]]&lt;=15,"Standard",Data_Analyst_Intern_Nikhil_Kumar_February2026[[#This Row],[Del Days]]&gt;15,"Slow")</f>
        <v>Standard</v>
      </c>
      <c r="AB93" t="s">
        <v>34</v>
      </c>
      <c r="AC93">
        <f>IF(Data_Analyst_Intern_Nikhil_Kumar_February2026[[#This Row],[Status]]="RTO", 1,0)</f>
        <v>0</v>
      </c>
      <c r="AD93">
        <f>IF(Data_Analyst_Intern_Nikhil_Kumar_February2026[[#This Row],[Status]]="Delivered",1,0)</f>
        <v>1</v>
      </c>
      <c r="AE93" t="s">
        <v>47</v>
      </c>
      <c r="AF93">
        <f>IF(AND(Data_Analyst_Intern_Nikhil_Kumar_February2026[[#This Row],[Status]]="Delivered",Data_Analyst_Intern_Nikhil_Kumar_February2026[[#This Row],[Return?]]="Yes"),1,0)</f>
        <v>1</v>
      </c>
      <c r="AG93" t="s">
        <v>48</v>
      </c>
      <c r="AH93" s="1">
        <v>45628</v>
      </c>
      <c r="AI93" t="s">
        <v>49</v>
      </c>
    </row>
    <row r="94" spans="1:35" x14ac:dyDescent="0.3">
      <c r="A94" t="s">
        <v>462</v>
      </c>
      <c r="B94" s="1">
        <v>45588</v>
      </c>
      <c r="C94" s="1" t="str">
        <f>TEXT(Data_Analyst_Intern_Nikhil_Kumar_February2026[[#This Row],[Order Date]], "mmmm")</f>
        <v>October</v>
      </c>
      <c r="D94" s="23">
        <f>WEEKNUM(Data_Analyst_Intern_Nikhil_Kumar_February2026[[#This Row],[Order Date]],2)</f>
        <v>43</v>
      </c>
      <c r="E94" s="23" t="str">
        <f>TEXT(Data_Analyst_Intern_Nikhil_Kumar_February2026[[#This Row],[Order Date]],"dddd")</f>
        <v>Wednesday</v>
      </c>
      <c r="F94" s="1">
        <v>45586</v>
      </c>
      <c r="G94" s="23" t="str">
        <f>TEXT(WEEKDAY(Data_Analyst_Intern_Nikhil_Kumar_February2026[[#This Row],[Order Date]],2), "dddd")</f>
        <v>Tuesday</v>
      </c>
      <c r="H94" t="s">
        <v>463</v>
      </c>
      <c r="I94" t="s">
        <v>25</v>
      </c>
      <c r="J94" t="s">
        <v>464</v>
      </c>
      <c r="K94" t="s">
        <v>62</v>
      </c>
      <c r="L94" t="s">
        <v>465</v>
      </c>
      <c r="M94" s="2">
        <v>4299</v>
      </c>
      <c r="N94">
        <v>1</v>
      </c>
      <c r="O94" s="2">
        <v>4299</v>
      </c>
      <c r="P94" t="s">
        <v>29</v>
      </c>
      <c r="Q94">
        <v>0</v>
      </c>
      <c r="R94" s="4">
        <f>IFERROR(Data_Analyst_Intern_Nikhil_Kumar_February2026[[#This Row],[Total]]/Data_Analyst_Intern_Nikhil_Kumar_February2026[[#This Row],[Discount(%)]],0)</f>
        <v>0</v>
      </c>
      <c r="S94" s="2">
        <f>Data_Analyst_Intern_Nikhil_Kumar_February2026[[#This Row],[Total]]-Data_Analyst_Intern_Nikhil_Kumar_February2026[[#This Row],[Discount Amount]]</f>
        <v>4299</v>
      </c>
      <c r="T94" t="s">
        <v>44</v>
      </c>
      <c r="U94" t="s">
        <v>31</v>
      </c>
      <c r="V94" t="s">
        <v>97</v>
      </c>
      <c r="W94" t="s">
        <v>98</v>
      </c>
      <c r="X94" t="s">
        <v>32</v>
      </c>
      <c r="Y94" s="1">
        <v>45601</v>
      </c>
      <c r="Z94" s="3">
        <f>Data_Analyst_Intern_Nikhil_Kumar_February2026[[#This Row],[Del Date]]-Data_Analyst_Intern_Nikhil_Kumar_February2026[[#This Row],[Order Date]]</f>
        <v>13</v>
      </c>
      <c r="AA94" s="3" t="str" cm="1">
        <f t="array" ref="AA94">_xlfn.IFS(Data_Analyst_Intern_Nikhil_Kumar_February2026[[#This Row],[Del Days]]&lt;=7,"Fast",Data_Analyst_Intern_Nikhil_Kumar_February2026[[#This Row],[Del Days]]&lt;=15,"Standard",Data_Analyst_Intern_Nikhil_Kumar_February2026[[#This Row],[Del Days]]&gt;15,"Slow")</f>
        <v>Standard</v>
      </c>
      <c r="AB94" t="s">
        <v>34</v>
      </c>
      <c r="AC94">
        <f>IF(Data_Analyst_Intern_Nikhil_Kumar_February2026[[#This Row],[Status]]="RTO", 1,0)</f>
        <v>0</v>
      </c>
      <c r="AD94">
        <f>IF(Data_Analyst_Intern_Nikhil_Kumar_February2026[[#This Row],[Status]]="Delivered",1,0)</f>
        <v>1</v>
      </c>
      <c r="AE94" t="s">
        <v>35</v>
      </c>
      <c r="AF94">
        <f>IF(AND(Data_Analyst_Intern_Nikhil_Kumar_February2026[[#This Row],[Status]]="Delivered",Data_Analyst_Intern_Nikhil_Kumar_February2026[[#This Row],[Return?]]="Yes"),1,0)</f>
        <v>0</v>
      </c>
      <c r="AG94" t="s">
        <v>29</v>
      </c>
      <c r="AI94" t="s">
        <v>36</v>
      </c>
    </row>
    <row r="95" spans="1:35" x14ac:dyDescent="0.3">
      <c r="A95" t="s">
        <v>466</v>
      </c>
      <c r="B95" s="1">
        <v>45588</v>
      </c>
      <c r="C95" s="1" t="str">
        <f>TEXT(Data_Analyst_Intern_Nikhil_Kumar_February2026[[#This Row],[Order Date]], "mmmm")</f>
        <v>October</v>
      </c>
      <c r="D95" s="23">
        <f>WEEKNUM(Data_Analyst_Intern_Nikhil_Kumar_February2026[[#This Row],[Order Date]],2)</f>
        <v>43</v>
      </c>
      <c r="E95" s="23" t="str">
        <f>TEXT(Data_Analyst_Intern_Nikhil_Kumar_February2026[[#This Row],[Order Date]],"dddd")</f>
        <v>Wednesday</v>
      </c>
      <c r="F95" s="1">
        <v>45586</v>
      </c>
      <c r="G95" s="23" t="str">
        <f>TEXT(WEEKDAY(Data_Analyst_Intern_Nikhil_Kumar_February2026[[#This Row],[Order Date]],2), "dddd")</f>
        <v>Tuesday</v>
      </c>
      <c r="H95" t="s">
        <v>467</v>
      </c>
      <c r="I95" t="s">
        <v>39</v>
      </c>
      <c r="J95" t="s">
        <v>468</v>
      </c>
      <c r="K95" t="s">
        <v>72</v>
      </c>
      <c r="L95" t="s">
        <v>469</v>
      </c>
      <c r="M95" s="2">
        <v>399</v>
      </c>
      <c r="N95">
        <v>3</v>
      </c>
      <c r="O95" s="2">
        <v>1197</v>
      </c>
      <c r="P95" t="s">
        <v>29</v>
      </c>
      <c r="Q95">
        <v>0</v>
      </c>
      <c r="R95" s="4">
        <f>IFERROR(Data_Analyst_Intern_Nikhil_Kumar_February2026[[#This Row],[Total]]/Data_Analyst_Intern_Nikhil_Kumar_February2026[[#This Row],[Discount(%)]],0)</f>
        <v>0</v>
      </c>
      <c r="S95" s="2">
        <f>Data_Analyst_Intern_Nikhil_Kumar_February2026[[#This Row],[Total]]-Data_Analyst_Intern_Nikhil_Kumar_February2026[[#This Row],[Discount Amount]]</f>
        <v>1197</v>
      </c>
      <c r="T95" t="s">
        <v>30</v>
      </c>
      <c r="U95" t="s">
        <v>66</v>
      </c>
      <c r="V95" t="s">
        <v>103</v>
      </c>
      <c r="W95" t="s">
        <v>104</v>
      </c>
      <c r="X95" t="s">
        <v>46</v>
      </c>
      <c r="Y95" s="1">
        <v>45598</v>
      </c>
      <c r="Z95" s="3">
        <f>Data_Analyst_Intern_Nikhil_Kumar_February2026[[#This Row],[Del Date]]-Data_Analyst_Intern_Nikhil_Kumar_February2026[[#This Row],[Order Date]]</f>
        <v>10</v>
      </c>
      <c r="AA95" s="3" t="str" cm="1">
        <f t="array" ref="AA95">_xlfn.IFS(Data_Analyst_Intern_Nikhil_Kumar_February2026[[#This Row],[Del Days]]&lt;=7,"Fast",Data_Analyst_Intern_Nikhil_Kumar_February2026[[#This Row],[Del Days]]&lt;=15,"Standard",Data_Analyst_Intern_Nikhil_Kumar_February2026[[#This Row],[Del Days]]&gt;15,"Slow")</f>
        <v>Standard</v>
      </c>
      <c r="AB95" t="s">
        <v>34</v>
      </c>
      <c r="AC95">
        <f>IF(Data_Analyst_Intern_Nikhil_Kumar_February2026[[#This Row],[Status]]="RTO", 1,0)</f>
        <v>0</v>
      </c>
      <c r="AD95">
        <f>IF(Data_Analyst_Intern_Nikhil_Kumar_February2026[[#This Row],[Status]]="Delivered",1,0)</f>
        <v>1</v>
      </c>
      <c r="AE95" t="s">
        <v>35</v>
      </c>
      <c r="AF95">
        <f>IF(AND(Data_Analyst_Intern_Nikhil_Kumar_February2026[[#This Row],[Status]]="Delivered",Data_Analyst_Intern_Nikhil_Kumar_February2026[[#This Row],[Return?]]="Yes"),1,0)</f>
        <v>0</v>
      </c>
      <c r="AG95" t="s">
        <v>29</v>
      </c>
      <c r="AI95" t="s">
        <v>36</v>
      </c>
    </row>
    <row r="96" spans="1:35" x14ac:dyDescent="0.3">
      <c r="A96" t="s">
        <v>470</v>
      </c>
      <c r="B96" s="1">
        <v>45588</v>
      </c>
      <c r="C96" s="1" t="str">
        <f>TEXT(Data_Analyst_Intern_Nikhil_Kumar_February2026[[#This Row],[Order Date]], "mmmm")</f>
        <v>October</v>
      </c>
      <c r="D96" s="23">
        <f>WEEKNUM(Data_Analyst_Intern_Nikhil_Kumar_February2026[[#This Row],[Order Date]],2)</f>
        <v>43</v>
      </c>
      <c r="E96" s="23" t="str">
        <f>TEXT(Data_Analyst_Intern_Nikhil_Kumar_February2026[[#This Row],[Order Date]],"dddd")</f>
        <v>Wednesday</v>
      </c>
      <c r="F96" s="1">
        <v>45586</v>
      </c>
      <c r="G96" s="23" t="str">
        <f>TEXT(WEEKDAY(Data_Analyst_Intern_Nikhil_Kumar_February2026[[#This Row],[Order Date]],2), "dddd")</f>
        <v>Tuesday</v>
      </c>
      <c r="H96" t="s">
        <v>471</v>
      </c>
      <c r="I96" t="s">
        <v>25</v>
      </c>
      <c r="J96" t="s">
        <v>472</v>
      </c>
      <c r="K96" t="s">
        <v>54</v>
      </c>
      <c r="L96" t="s">
        <v>473</v>
      </c>
      <c r="M96" s="2">
        <v>2199</v>
      </c>
      <c r="N96">
        <v>1</v>
      </c>
      <c r="O96" s="2">
        <v>2199</v>
      </c>
      <c r="P96" t="s">
        <v>64</v>
      </c>
      <c r="Q96">
        <v>15</v>
      </c>
      <c r="R96" s="4">
        <f>IFERROR(Data_Analyst_Intern_Nikhil_Kumar_February2026[[#This Row],[Total]]/Data_Analyst_Intern_Nikhil_Kumar_February2026[[#This Row],[Discount(%)]],0)</f>
        <v>146.6</v>
      </c>
      <c r="S96" s="2">
        <f>Data_Analyst_Intern_Nikhil_Kumar_February2026[[#This Row],[Total]]-Data_Analyst_Intern_Nikhil_Kumar_February2026[[#This Row],[Discount Amount]]</f>
        <v>2052.4</v>
      </c>
      <c r="T96" t="s">
        <v>65</v>
      </c>
      <c r="U96" t="s">
        <v>45</v>
      </c>
      <c r="V96" t="s">
        <v>113</v>
      </c>
      <c r="W96" t="s">
        <v>114</v>
      </c>
      <c r="X96" t="s">
        <v>46</v>
      </c>
      <c r="Y96" s="1">
        <v>45601</v>
      </c>
      <c r="Z96" s="3">
        <f>Data_Analyst_Intern_Nikhil_Kumar_February2026[[#This Row],[Del Date]]-Data_Analyst_Intern_Nikhil_Kumar_February2026[[#This Row],[Order Date]]</f>
        <v>13</v>
      </c>
      <c r="AA96" s="3" t="str" cm="1">
        <f t="array" ref="AA96">_xlfn.IFS(Data_Analyst_Intern_Nikhil_Kumar_February2026[[#This Row],[Del Days]]&lt;=7,"Fast",Data_Analyst_Intern_Nikhil_Kumar_February2026[[#This Row],[Del Days]]&lt;=15,"Standard",Data_Analyst_Intern_Nikhil_Kumar_February2026[[#This Row],[Del Days]]&gt;15,"Slow")</f>
        <v>Standard</v>
      </c>
      <c r="AB96" t="s">
        <v>34</v>
      </c>
      <c r="AC96">
        <f>IF(Data_Analyst_Intern_Nikhil_Kumar_February2026[[#This Row],[Status]]="RTO", 1,0)</f>
        <v>0</v>
      </c>
      <c r="AD96">
        <f>IF(Data_Analyst_Intern_Nikhil_Kumar_February2026[[#This Row],[Status]]="Delivered",1,0)</f>
        <v>1</v>
      </c>
      <c r="AE96" t="s">
        <v>47</v>
      </c>
      <c r="AF96">
        <f>IF(AND(Data_Analyst_Intern_Nikhil_Kumar_February2026[[#This Row],[Status]]="Delivered",Data_Analyst_Intern_Nikhil_Kumar_February2026[[#This Row],[Return?]]="Yes"),1,0)</f>
        <v>1</v>
      </c>
      <c r="AG96" t="s">
        <v>139</v>
      </c>
      <c r="AH96" s="1">
        <v>45631</v>
      </c>
      <c r="AI96" t="s">
        <v>49</v>
      </c>
    </row>
    <row r="97" spans="1:35" x14ac:dyDescent="0.3">
      <c r="A97" t="s">
        <v>474</v>
      </c>
      <c r="B97" s="1">
        <v>45589</v>
      </c>
      <c r="C97" s="1" t="str">
        <f>TEXT(Data_Analyst_Intern_Nikhil_Kumar_February2026[[#This Row],[Order Date]], "mmmm")</f>
        <v>October</v>
      </c>
      <c r="D97" s="23">
        <f>WEEKNUM(Data_Analyst_Intern_Nikhil_Kumar_February2026[[#This Row],[Order Date]],2)</f>
        <v>43</v>
      </c>
      <c r="E97" s="23" t="str">
        <f>TEXT(Data_Analyst_Intern_Nikhil_Kumar_February2026[[#This Row],[Order Date]],"dddd")</f>
        <v>Thursday</v>
      </c>
      <c r="F97" s="1">
        <v>45586</v>
      </c>
      <c r="G97" s="23" t="str">
        <f>TEXT(WEEKDAY(Data_Analyst_Intern_Nikhil_Kumar_February2026[[#This Row],[Order Date]],2), "dddd")</f>
        <v>Wednesday</v>
      </c>
      <c r="H97" t="s">
        <v>475</v>
      </c>
      <c r="I97" t="s">
        <v>25</v>
      </c>
      <c r="J97" t="s">
        <v>476</v>
      </c>
      <c r="K97" t="s">
        <v>41</v>
      </c>
      <c r="L97" t="s">
        <v>477</v>
      </c>
      <c r="M97" s="2">
        <v>2399</v>
      </c>
      <c r="N97">
        <v>1</v>
      </c>
      <c r="O97" s="2">
        <v>2399</v>
      </c>
      <c r="P97" t="s">
        <v>29</v>
      </c>
      <c r="Q97">
        <v>0</v>
      </c>
      <c r="R97" s="4">
        <f>IFERROR(Data_Analyst_Intern_Nikhil_Kumar_February2026[[#This Row],[Total]]/Data_Analyst_Intern_Nikhil_Kumar_February2026[[#This Row],[Discount(%)]],0)</f>
        <v>0</v>
      </c>
      <c r="S97" s="2">
        <f>Data_Analyst_Intern_Nikhil_Kumar_February2026[[#This Row],[Total]]-Data_Analyst_Intern_Nikhil_Kumar_February2026[[#This Row],[Discount Amount]]</f>
        <v>2399</v>
      </c>
      <c r="T97" t="s">
        <v>44</v>
      </c>
      <c r="U97" t="s">
        <v>31</v>
      </c>
      <c r="V97" t="s">
        <v>57</v>
      </c>
      <c r="W97" t="s">
        <v>58</v>
      </c>
      <c r="X97" t="s">
        <v>57</v>
      </c>
      <c r="Y97" s="1">
        <v>45600</v>
      </c>
      <c r="Z97" s="3">
        <f>Data_Analyst_Intern_Nikhil_Kumar_February2026[[#This Row],[Del Date]]-Data_Analyst_Intern_Nikhil_Kumar_February2026[[#This Row],[Order Date]]</f>
        <v>11</v>
      </c>
      <c r="AA97" s="3" t="str" cm="1">
        <f t="array" ref="AA97">_xlfn.IFS(Data_Analyst_Intern_Nikhil_Kumar_February2026[[#This Row],[Del Days]]&lt;=7,"Fast",Data_Analyst_Intern_Nikhil_Kumar_February2026[[#This Row],[Del Days]]&lt;=15,"Standard",Data_Analyst_Intern_Nikhil_Kumar_February2026[[#This Row],[Del Days]]&gt;15,"Slow")</f>
        <v>Standard</v>
      </c>
      <c r="AB97" t="s">
        <v>34</v>
      </c>
      <c r="AC97">
        <f>IF(Data_Analyst_Intern_Nikhil_Kumar_February2026[[#This Row],[Status]]="RTO", 1,0)</f>
        <v>0</v>
      </c>
      <c r="AD97">
        <f>IF(Data_Analyst_Intern_Nikhil_Kumar_February2026[[#This Row],[Status]]="Delivered",1,0)</f>
        <v>1</v>
      </c>
      <c r="AE97" t="s">
        <v>35</v>
      </c>
      <c r="AF97">
        <f>IF(AND(Data_Analyst_Intern_Nikhil_Kumar_February2026[[#This Row],[Status]]="Delivered",Data_Analyst_Intern_Nikhil_Kumar_February2026[[#This Row],[Return?]]="Yes"),1,0)</f>
        <v>0</v>
      </c>
      <c r="AG97" t="s">
        <v>29</v>
      </c>
      <c r="AI97" t="s">
        <v>36</v>
      </c>
    </row>
    <row r="98" spans="1:35" x14ac:dyDescent="0.3">
      <c r="A98" t="s">
        <v>478</v>
      </c>
      <c r="B98" s="1">
        <v>45589</v>
      </c>
      <c r="C98" s="1" t="str">
        <f>TEXT(Data_Analyst_Intern_Nikhil_Kumar_February2026[[#This Row],[Order Date]], "mmmm")</f>
        <v>October</v>
      </c>
      <c r="D98" s="23">
        <f>WEEKNUM(Data_Analyst_Intern_Nikhil_Kumar_February2026[[#This Row],[Order Date]],2)</f>
        <v>43</v>
      </c>
      <c r="E98" s="23" t="str">
        <f>TEXT(Data_Analyst_Intern_Nikhil_Kumar_February2026[[#This Row],[Order Date]],"dddd")</f>
        <v>Thursday</v>
      </c>
      <c r="F98" s="1">
        <v>45586</v>
      </c>
      <c r="G98" s="23" t="str">
        <f>TEXT(WEEKDAY(Data_Analyst_Intern_Nikhil_Kumar_February2026[[#This Row],[Order Date]],2), "dddd")</f>
        <v>Wednesday</v>
      </c>
      <c r="H98" t="s">
        <v>479</v>
      </c>
      <c r="I98" t="s">
        <v>25</v>
      </c>
      <c r="J98" t="s">
        <v>480</v>
      </c>
      <c r="K98" t="s">
        <v>27</v>
      </c>
      <c r="L98" t="s">
        <v>481</v>
      </c>
      <c r="M98" s="2">
        <v>1299</v>
      </c>
      <c r="N98">
        <v>1</v>
      </c>
      <c r="O98" s="2">
        <v>1299</v>
      </c>
      <c r="P98" t="s">
        <v>29</v>
      </c>
      <c r="Q98">
        <v>0</v>
      </c>
      <c r="R98" s="4">
        <f>IFERROR(Data_Analyst_Intern_Nikhil_Kumar_February2026[[#This Row],[Total]]/Data_Analyst_Intern_Nikhil_Kumar_February2026[[#This Row],[Discount(%)]],0)</f>
        <v>0</v>
      </c>
      <c r="S98" s="2">
        <f>Data_Analyst_Intern_Nikhil_Kumar_February2026[[#This Row],[Total]]-Data_Analyst_Intern_Nikhil_Kumar_February2026[[#This Row],[Discount Amount]]</f>
        <v>1299</v>
      </c>
      <c r="T98" t="s">
        <v>56</v>
      </c>
      <c r="U98" t="s">
        <v>66</v>
      </c>
      <c r="V98" t="s">
        <v>32</v>
      </c>
      <c r="W98" t="s">
        <v>33</v>
      </c>
      <c r="X98" t="s">
        <v>32</v>
      </c>
      <c r="Y98" s="1">
        <v>45602</v>
      </c>
      <c r="Z98" s="3">
        <f>Data_Analyst_Intern_Nikhil_Kumar_February2026[[#This Row],[Del Date]]-Data_Analyst_Intern_Nikhil_Kumar_February2026[[#This Row],[Order Date]]</f>
        <v>13</v>
      </c>
      <c r="AA98" s="3" t="str" cm="1">
        <f t="array" ref="AA98">_xlfn.IFS(Data_Analyst_Intern_Nikhil_Kumar_February2026[[#This Row],[Del Days]]&lt;=7,"Fast",Data_Analyst_Intern_Nikhil_Kumar_February2026[[#This Row],[Del Days]]&lt;=15,"Standard",Data_Analyst_Intern_Nikhil_Kumar_February2026[[#This Row],[Del Days]]&gt;15,"Slow")</f>
        <v>Standard</v>
      </c>
      <c r="AB98" t="s">
        <v>34</v>
      </c>
      <c r="AC98">
        <f>IF(Data_Analyst_Intern_Nikhil_Kumar_February2026[[#This Row],[Status]]="RTO", 1,0)</f>
        <v>0</v>
      </c>
      <c r="AD98">
        <f>IF(Data_Analyst_Intern_Nikhil_Kumar_February2026[[#This Row],[Status]]="Delivered",1,0)</f>
        <v>1</v>
      </c>
      <c r="AE98" t="s">
        <v>47</v>
      </c>
      <c r="AF98">
        <f>IF(AND(Data_Analyst_Intern_Nikhil_Kumar_February2026[[#This Row],[Status]]="Delivered",Data_Analyst_Intern_Nikhil_Kumar_February2026[[#This Row],[Return?]]="Yes"),1,0)</f>
        <v>1</v>
      </c>
      <c r="AG98" t="s">
        <v>80</v>
      </c>
      <c r="AH98" s="1">
        <v>45631</v>
      </c>
      <c r="AI98" t="s">
        <v>49</v>
      </c>
    </row>
    <row r="99" spans="1:35" x14ac:dyDescent="0.3">
      <c r="A99" t="s">
        <v>482</v>
      </c>
      <c r="B99" s="1">
        <v>45589</v>
      </c>
      <c r="C99" s="1" t="str">
        <f>TEXT(Data_Analyst_Intern_Nikhil_Kumar_February2026[[#This Row],[Order Date]], "mmmm")</f>
        <v>October</v>
      </c>
      <c r="D99" s="23">
        <f>WEEKNUM(Data_Analyst_Intern_Nikhil_Kumar_February2026[[#This Row],[Order Date]],2)</f>
        <v>43</v>
      </c>
      <c r="E99" s="23" t="str">
        <f>TEXT(Data_Analyst_Intern_Nikhil_Kumar_February2026[[#This Row],[Order Date]],"dddd")</f>
        <v>Thursday</v>
      </c>
      <c r="F99" s="1">
        <v>45586</v>
      </c>
      <c r="G99" s="23" t="str">
        <f>TEXT(WEEKDAY(Data_Analyst_Intern_Nikhil_Kumar_February2026[[#This Row],[Order Date]],2), "dddd")</f>
        <v>Wednesday</v>
      </c>
      <c r="H99" t="s">
        <v>483</v>
      </c>
      <c r="I99" t="s">
        <v>39</v>
      </c>
      <c r="J99" t="s">
        <v>484</v>
      </c>
      <c r="K99" t="s">
        <v>62</v>
      </c>
      <c r="L99" t="s">
        <v>485</v>
      </c>
      <c r="M99" s="2">
        <v>2799</v>
      </c>
      <c r="N99">
        <v>1</v>
      </c>
      <c r="O99" s="2">
        <v>2799</v>
      </c>
      <c r="P99" t="s">
        <v>43</v>
      </c>
      <c r="Q99">
        <v>20</v>
      </c>
      <c r="R99" s="4">
        <f>IFERROR(Data_Analyst_Intern_Nikhil_Kumar_February2026[[#This Row],[Total]]/Data_Analyst_Intern_Nikhil_Kumar_February2026[[#This Row],[Discount(%)]],0)</f>
        <v>139.94999999999999</v>
      </c>
      <c r="S99" s="2">
        <f>Data_Analyst_Intern_Nikhil_Kumar_February2026[[#This Row],[Total]]-Data_Analyst_Intern_Nikhil_Kumar_February2026[[#This Row],[Discount Amount]]</f>
        <v>2659.05</v>
      </c>
      <c r="T99" t="s">
        <v>30</v>
      </c>
      <c r="U99" t="s">
        <v>45</v>
      </c>
      <c r="V99" t="s">
        <v>46</v>
      </c>
      <c r="W99" t="s">
        <v>46</v>
      </c>
      <c r="X99" t="s">
        <v>46</v>
      </c>
      <c r="Y99" s="1">
        <v>45601</v>
      </c>
      <c r="Z99" s="3">
        <f>Data_Analyst_Intern_Nikhil_Kumar_February2026[[#This Row],[Del Date]]-Data_Analyst_Intern_Nikhil_Kumar_February2026[[#This Row],[Order Date]]</f>
        <v>12</v>
      </c>
      <c r="AA99" s="3" t="str" cm="1">
        <f t="array" ref="AA99">_xlfn.IFS(Data_Analyst_Intern_Nikhil_Kumar_February2026[[#This Row],[Del Days]]&lt;=7,"Fast",Data_Analyst_Intern_Nikhil_Kumar_February2026[[#This Row],[Del Days]]&lt;=15,"Standard",Data_Analyst_Intern_Nikhil_Kumar_February2026[[#This Row],[Del Days]]&gt;15,"Slow")</f>
        <v>Standard</v>
      </c>
      <c r="AB99" t="s">
        <v>34</v>
      </c>
      <c r="AC99">
        <f>IF(Data_Analyst_Intern_Nikhil_Kumar_February2026[[#This Row],[Status]]="RTO", 1,0)</f>
        <v>0</v>
      </c>
      <c r="AD99">
        <f>IF(Data_Analyst_Intern_Nikhil_Kumar_February2026[[#This Row],[Status]]="Delivered",1,0)</f>
        <v>1</v>
      </c>
      <c r="AE99" t="s">
        <v>35</v>
      </c>
      <c r="AF99">
        <f>IF(AND(Data_Analyst_Intern_Nikhil_Kumar_February2026[[#This Row],[Status]]="Delivered",Data_Analyst_Intern_Nikhil_Kumar_February2026[[#This Row],[Return?]]="Yes"),1,0)</f>
        <v>0</v>
      </c>
      <c r="AG99" t="s">
        <v>29</v>
      </c>
      <c r="AI99" t="s">
        <v>36</v>
      </c>
    </row>
    <row r="100" spans="1:35" x14ac:dyDescent="0.3">
      <c r="A100" t="s">
        <v>486</v>
      </c>
      <c r="B100" s="1">
        <v>45589</v>
      </c>
      <c r="C100" s="1" t="str">
        <f>TEXT(Data_Analyst_Intern_Nikhil_Kumar_February2026[[#This Row],[Order Date]], "mmmm")</f>
        <v>October</v>
      </c>
      <c r="D100" s="23">
        <f>WEEKNUM(Data_Analyst_Intern_Nikhil_Kumar_February2026[[#This Row],[Order Date]],2)</f>
        <v>43</v>
      </c>
      <c r="E100" s="23" t="str">
        <f>TEXT(Data_Analyst_Intern_Nikhil_Kumar_February2026[[#This Row],[Order Date]],"dddd")</f>
        <v>Thursday</v>
      </c>
      <c r="F100" s="1">
        <v>45586</v>
      </c>
      <c r="G100" s="23" t="str">
        <f>TEXT(WEEKDAY(Data_Analyst_Intern_Nikhil_Kumar_February2026[[#This Row],[Order Date]],2), "dddd")</f>
        <v>Wednesday</v>
      </c>
      <c r="H100" t="s">
        <v>487</v>
      </c>
      <c r="I100" t="s">
        <v>25</v>
      </c>
      <c r="J100" t="s">
        <v>488</v>
      </c>
      <c r="K100" t="s">
        <v>72</v>
      </c>
      <c r="L100" t="s">
        <v>489</v>
      </c>
      <c r="M100" s="2">
        <v>699</v>
      </c>
      <c r="N100">
        <v>1</v>
      </c>
      <c r="O100" s="2">
        <v>699</v>
      </c>
      <c r="P100" t="s">
        <v>29</v>
      </c>
      <c r="Q100">
        <v>0</v>
      </c>
      <c r="R100" s="4">
        <f>IFERROR(Data_Analyst_Intern_Nikhil_Kumar_February2026[[#This Row],[Total]]/Data_Analyst_Intern_Nikhil_Kumar_February2026[[#This Row],[Discount(%)]],0)</f>
        <v>0</v>
      </c>
      <c r="S100" s="2">
        <f>Data_Analyst_Intern_Nikhil_Kumar_February2026[[#This Row],[Total]]-Data_Analyst_Intern_Nikhil_Kumar_February2026[[#This Row],[Discount Amount]]</f>
        <v>699</v>
      </c>
      <c r="T100" t="s">
        <v>112</v>
      </c>
      <c r="U100" t="s">
        <v>31</v>
      </c>
      <c r="V100" t="s">
        <v>119</v>
      </c>
      <c r="W100" t="s">
        <v>120</v>
      </c>
      <c r="X100" t="s">
        <v>46</v>
      </c>
      <c r="Y100" s="1">
        <v>45600</v>
      </c>
      <c r="Z100" s="3">
        <f>Data_Analyst_Intern_Nikhil_Kumar_February2026[[#This Row],[Del Date]]-Data_Analyst_Intern_Nikhil_Kumar_February2026[[#This Row],[Order Date]]</f>
        <v>11</v>
      </c>
      <c r="AA100" s="3" t="str" cm="1">
        <f t="array" ref="AA100">_xlfn.IFS(Data_Analyst_Intern_Nikhil_Kumar_February2026[[#This Row],[Del Days]]&lt;=7,"Fast",Data_Analyst_Intern_Nikhil_Kumar_February2026[[#This Row],[Del Days]]&lt;=15,"Standard",Data_Analyst_Intern_Nikhil_Kumar_February2026[[#This Row],[Del Days]]&gt;15,"Slow")</f>
        <v>Standard</v>
      </c>
      <c r="AB100" t="s">
        <v>34</v>
      </c>
      <c r="AC100">
        <f>IF(Data_Analyst_Intern_Nikhil_Kumar_February2026[[#This Row],[Status]]="RTO", 1,0)</f>
        <v>0</v>
      </c>
      <c r="AD100">
        <f>IF(Data_Analyst_Intern_Nikhil_Kumar_February2026[[#This Row],[Status]]="Delivered",1,0)</f>
        <v>1</v>
      </c>
      <c r="AE100" t="s">
        <v>35</v>
      </c>
      <c r="AF100">
        <f>IF(AND(Data_Analyst_Intern_Nikhil_Kumar_February2026[[#This Row],[Status]]="Delivered",Data_Analyst_Intern_Nikhil_Kumar_February2026[[#This Row],[Return?]]="Yes"),1,0)</f>
        <v>0</v>
      </c>
      <c r="AG100" t="s">
        <v>29</v>
      </c>
      <c r="AI100" t="s">
        <v>36</v>
      </c>
    </row>
    <row r="101" spans="1:35" x14ac:dyDescent="0.3">
      <c r="A101" t="s">
        <v>490</v>
      </c>
      <c r="B101" s="1">
        <v>45590</v>
      </c>
      <c r="C101" s="1" t="str">
        <f>TEXT(Data_Analyst_Intern_Nikhil_Kumar_February2026[[#This Row],[Order Date]], "mmmm")</f>
        <v>October</v>
      </c>
      <c r="D101" s="23">
        <f>WEEKNUM(Data_Analyst_Intern_Nikhil_Kumar_February2026[[#This Row],[Order Date]],2)</f>
        <v>43</v>
      </c>
      <c r="E101" s="23" t="str">
        <f>TEXT(Data_Analyst_Intern_Nikhil_Kumar_February2026[[#This Row],[Order Date]],"dddd")</f>
        <v>Friday</v>
      </c>
      <c r="F101" s="1">
        <v>45586</v>
      </c>
      <c r="G101" s="23" t="str">
        <f>TEXT(WEEKDAY(Data_Analyst_Intern_Nikhil_Kumar_February2026[[#This Row],[Order Date]],2), "dddd")</f>
        <v>Thursday</v>
      </c>
      <c r="H101" t="s">
        <v>491</v>
      </c>
      <c r="I101" t="s">
        <v>25</v>
      </c>
      <c r="J101" t="s">
        <v>492</v>
      </c>
      <c r="K101" t="s">
        <v>54</v>
      </c>
      <c r="L101" t="s">
        <v>493</v>
      </c>
      <c r="M101" s="2">
        <v>1699</v>
      </c>
      <c r="N101">
        <v>1</v>
      </c>
      <c r="O101" s="2">
        <v>1699</v>
      </c>
      <c r="P101" t="s">
        <v>29</v>
      </c>
      <c r="Q101">
        <v>0</v>
      </c>
      <c r="R101" s="4">
        <f>IFERROR(Data_Analyst_Intern_Nikhil_Kumar_February2026[[#This Row],[Total]]/Data_Analyst_Intern_Nikhil_Kumar_February2026[[#This Row],[Discount(%)]],0)</f>
        <v>0</v>
      </c>
      <c r="S101" s="2">
        <f>Data_Analyst_Intern_Nikhil_Kumar_February2026[[#This Row],[Total]]-Data_Analyst_Intern_Nikhil_Kumar_February2026[[#This Row],[Discount Amount]]</f>
        <v>1699</v>
      </c>
      <c r="T101" t="s">
        <v>65</v>
      </c>
      <c r="U101" t="s">
        <v>66</v>
      </c>
      <c r="V101" t="s">
        <v>138</v>
      </c>
      <c r="W101" t="s">
        <v>114</v>
      </c>
      <c r="X101" t="s">
        <v>46</v>
      </c>
      <c r="Y101" s="1">
        <v>45603</v>
      </c>
      <c r="Z101" s="3">
        <f>Data_Analyst_Intern_Nikhil_Kumar_February2026[[#This Row],[Del Date]]-Data_Analyst_Intern_Nikhil_Kumar_February2026[[#This Row],[Order Date]]</f>
        <v>13</v>
      </c>
      <c r="AA101" s="3" t="str" cm="1">
        <f t="array" ref="AA101">_xlfn.IFS(Data_Analyst_Intern_Nikhil_Kumar_February2026[[#This Row],[Del Days]]&lt;=7,"Fast",Data_Analyst_Intern_Nikhil_Kumar_February2026[[#This Row],[Del Days]]&lt;=15,"Standard",Data_Analyst_Intern_Nikhil_Kumar_February2026[[#This Row],[Del Days]]&gt;15,"Slow")</f>
        <v>Standard</v>
      </c>
      <c r="AB101" t="s">
        <v>34</v>
      </c>
      <c r="AC101">
        <f>IF(Data_Analyst_Intern_Nikhil_Kumar_February2026[[#This Row],[Status]]="RTO", 1,0)</f>
        <v>0</v>
      </c>
      <c r="AD101">
        <f>IF(Data_Analyst_Intern_Nikhil_Kumar_February2026[[#This Row],[Status]]="Delivered",1,0)</f>
        <v>1</v>
      </c>
      <c r="AE101" t="s">
        <v>47</v>
      </c>
      <c r="AF101">
        <f>IF(AND(Data_Analyst_Intern_Nikhil_Kumar_February2026[[#This Row],[Status]]="Delivered",Data_Analyst_Intern_Nikhil_Kumar_February2026[[#This Row],[Return?]]="Yes"),1,0)</f>
        <v>1</v>
      </c>
      <c r="AG101" t="s">
        <v>48</v>
      </c>
      <c r="AH101" s="1">
        <v>45632</v>
      </c>
      <c r="AI101" t="s">
        <v>49</v>
      </c>
    </row>
    <row r="102" spans="1:35" x14ac:dyDescent="0.3">
      <c r="A102" t="s">
        <v>494</v>
      </c>
      <c r="B102" s="1">
        <v>45590</v>
      </c>
      <c r="C102" s="1" t="str">
        <f>TEXT(Data_Analyst_Intern_Nikhil_Kumar_February2026[[#This Row],[Order Date]], "mmmm")</f>
        <v>October</v>
      </c>
      <c r="D102" s="23">
        <f>WEEKNUM(Data_Analyst_Intern_Nikhil_Kumar_February2026[[#This Row],[Order Date]],2)</f>
        <v>43</v>
      </c>
      <c r="E102" s="23" t="str">
        <f>TEXT(Data_Analyst_Intern_Nikhil_Kumar_February2026[[#This Row],[Order Date]],"dddd")</f>
        <v>Friday</v>
      </c>
      <c r="F102" s="1">
        <v>45586</v>
      </c>
      <c r="G102" s="23" t="str">
        <f>TEXT(WEEKDAY(Data_Analyst_Intern_Nikhil_Kumar_February2026[[#This Row],[Order Date]],2), "dddd")</f>
        <v>Thursday</v>
      </c>
      <c r="H102" t="s">
        <v>495</v>
      </c>
      <c r="I102" t="s">
        <v>25</v>
      </c>
      <c r="J102" t="s">
        <v>496</v>
      </c>
      <c r="K102" t="s">
        <v>41</v>
      </c>
      <c r="L102" t="s">
        <v>149</v>
      </c>
      <c r="M102" s="2">
        <v>2799</v>
      </c>
      <c r="N102">
        <v>1</v>
      </c>
      <c r="O102" s="2">
        <v>2799</v>
      </c>
      <c r="P102" t="s">
        <v>111</v>
      </c>
      <c r="Q102">
        <v>10</v>
      </c>
      <c r="R102" s="4">
        <f>IFERROR(Data_Analyst_Intern_Nikhil_Kumar_February2026[[#This Row],[Total]]/Data_Analyst_Intern_Nikhil_Kumar_February2026[[#This Row],[Discount(%)]],0)</f>
        <v>279.89999999999998</v>
      </c>
      <c r="S102" s="2">
        <f>Data_Analyst_Intern_Nikhil_Kumar_February2026[[#This Row],[Total]]-Data_Analyst_Intern_Nikhil_Kumar_February2026[[#This Row],[Discount Amount]]</f>
        <v>2519.1</v>
      </c>
      <c r="T102" t="s">
        <v>44</v>
      </c>
      <c r="U102" t="s">
        <v>45</v>
      </c>
      <c r="V102" t="s">
        <v>144</v>
      </c>
      <c r="W102" t="s">
        <v>145</v>
      </c>
      <c r="X102" t="s">
        <v>46</v>
      </c>
      <c r="Y102" s="1">
        <v>45602</v>
      </c>
      <c r="Z102" s="3">
        <f>Data_Analyst_Intern_Nikhil_Kumar_February2026[[#This Row],[Del Date]]-Data_Analyst_Intern_Nikhil_Kumar_February2026[[#This Row],[Order Date]]</f>
        <v>12</v>
      </c>
      <c r="AA102" s="3" t="str" cm="1">
        <f t="array" ref="AA102">_xlfn.IFS(Data_Analyst_Intern_Nikhil_Kumar_February2026[[#This Row],[Del Days]]&lt;=7,"Fast",Data_Analyst_Intern_Nikhil_Kumar_February2026[[#This Row],[Del Days]]&lt;=15,"Standard",Data_Analyst_Intern_Nikhil_Kumar_February2026[[#This Row],[Del Days]]&gt;15,"Slow")</f>
        <v>Standard</v>
      </c>
      <c r="AB102" t="s">
        <v>34</v>
      </c>
      <c r="AC102">
        <f>IF(Data_Analyst_Intern_Nikhil_Kumar_February2026[[#This Row],[Status]]="RTO", 1,0)</f>
        <v>0</v>
      </c>
      <c r="AD102">
        <f>IF(Data_Analyst_Intern_Nikhil_Kumar_February2026[[#This Row],[Status]]="Delivered",1,0)</f>
        <v>1</v>
      </c>
      <c r="AE102" t="s">
        <v>35</v>
      </c>
      <c r="AF102">
        <f>IF(AND(Data_Analyst_Intern_Nikhil_Kumar_February2026[[#This Row],[Status]]="Delivered",Data_Analyst_Intern_Nikhil_Kumar_February2026[[#This Row],[Return?]]="Yes"),1,0)</f>
        <v>0</v>
      </c>
      <c r="AG102" t="s">
        <v>29</v>
      </c>
      <c r="AI102" t="s">
        <v>36</v>
      </c>
    </row>
    <row r="103" spans="1:35" x14ac:dyDescent="0.3">
      <c r="A103" t="s">
        <v>497</v>
      </c>
      <c r="B103" s="1">
        <v>45590</v>
      </c>
      <c r="C103" s="1" t="str">
        <f>TEXT(Data_Analyst_Intern_Nikhil_Kumar_February2026[[#This Row],[Order Date]], "mmmm")</f>
        <v>October</v>
      </c>
      <c r="D103" s="23">
        <f>WEEKNUM(Data_Analyst_Intern_Nikhil_Kumar_February2026[[#This Row],[Order Date]],2)</f>
        <v>43</v>
      </c>
      <c r="E103" s="23" t="str">
        <f>TEXT(Data_Analyst_Intern_Nikhil_Kumar_February2026[[#This Row],[Order Date]],"dddd")</f>
        <v>Friday</v>
      </c>
      <c r="F103" s="1">
        <v>45586</v>
      </c>
      <c r="G103" s="23" t="str">
        <f>TEXT(WEEKDAY(Data_Analyst_Intern_Nikhil_Kumar_February2026[[#This Row],[Order Date]],2), "dddd")</f>
        <v>Thursday</v>
      </c>
      <c r="H103" t="s">
        <v>498</v>
      </c>
      <c r="I103" t="s">
        <v>39</v>
      </c>
      <c r="J103" t="s">
        <v>499</v>
      </c>
      <c r="K103" t="s">
        <v>27</v>
      </c>
      <c r="L103" t="s">
        <v>500</v>
      </c>
      <c r="M103" s="2">
        <v>1199</v>
      </c>
      <c r="N103">
        <v>2</v>
      </c>
      <c r="O103" s="2">
        <v>2398</v>
      </c>
      <c r="P103" t="s">
        <v>29</v>
      </c>
      <c r="Q103">
        <v>0</v>
      </c>
      <c r="R103" s="4">
        <f>IFERROR(Data_Analyst_Intern_Nikhil_Kumar_February2026[[#This Row],[Total]]/Data_Analyst_Intern_Nikhil_Kumar_February2026[[#This Row],[Discount(%)]],0)</f>
        <v>0</v>
      </c>
      <c r="S103" s="2">
        <f>Data_Analyst_Intern_Nikhil_Kumar_February2026[[#This Row],[Total]]-Data_Analyst_Intern_Nikhil_Kumar_February2026[[#This Row],[Discount Amount]]</f>
        <v>2398</v>
      </c>
      <c r="T103" t="s">
        <v>30</v>
      </c>
      <c r="U103" t="s">
        <v>31</v>
      </c>
      <c r="V103" t="s">
        <v>150</v>
      </c>
      <c r="W103" t="s">
        <v>151</v>
      </c>
      <c r="X103" t="s">
        <v>32</v>
      </c>
      <c r="Y103" s="1">
        <v>45601</v>
      </c>
      <c r="Z103" s="3">
        <f>Data_Analyst_Intern_Nikhil_Kumar_February2026[[#This Row],[Del Date]]-Data_Analyst_Intern_Nikhil_Kumar_February2026[[#This Row],[Order Date]]</f>
        <v>11</v>
      </c>
      <c r="AA103" s="3" t="str" cm="1">
        <f t="array" ref="AA103">_xlfn.IFS(Data_Analyst_Intern_Nikhil_Kumar_February2026[[#This Row],[Del Days]]&lt;=7,"Fast",Data_Analyst_Intern_Nikhil_Kumar_February2026[[#This Row],[Del Days]]&lt;=15,"Standard",Data_Analyst_Intern_Nikhil_Kumar_February2026[[#This Row],[Del Days]]&gt;15,"Slow")</f>
        <v>Standard</v>
      </c>
      <c r="AB103" t="s">
        <v>34</v>
      </c>
      <c r="AC103">
        <f>IF(Data_Analyst_Intern_Nikhil_Kumar_February2026[[#This Row],[Status]]="RTO", 1,0)</f>
        <v>0</v>
      </c>
      <c r="AD103">
        <f>IF(Data_Analyst_Intern_Nikhil_Kumar_February2026[[#This Row],[Status]]="Delivered",1,0)</f>
        <v>1</v>
      </c>
      <c r="AE103" t="s">
        <v>47</v>
      </c>
      <c r="AF103">
        <f>IF(AND(Data_Analyst_Intern_Nikhil_Kumar_February2026[[#This Row],[Status]]="Delivered",Data_Analyst_Intern_Nikhil_Kumar_February2026[[#This Row],[Return?]]="Yes"),1,0)</f>
        <v>1</v>
      </c>
      <c r="AG103" t="s">
        <v>69</v>
      </c>
      <c r="AH103" s="1">
        <v>45630</v>
      </c>
      <c r="AI103" t="s">
        <v>49</v>
      </c>
    </row>
    <row r="104" spans="1:35" x14ac:dyDescent="0.3">
      <c r="A104" t="s">
        <v>501</v>
      </c>
      <c r="B104" s="1">
        <v>45590</v>
      </c>
      <c r="C104" s="1" t="str">
        <f>TEXT(Data_Analyst_Intern_Nikhil_Kumar_February2026[[#This Row],[Order Date]], "mmmm")</f>
        <v>October</v>
      </c>
      <c r="D104" s="23">
        <f>WEEKNUM(Data_Analyst_Intern_Nikhil_Kumar_February2026[[#This Row],[Order Date]],2)</f>
        <v>43</v>
      </c>
      <c r="E104" s="23" t="str">
        <f>TEXT(Data_Analyst_Intern_Nikhil_Kumar_February2026[[#This Row],[Order Date]],"dddd")</f>
        <v>Friday</v>
      </c>
      <c r="F104" s="1">
        <v>45586</v>
      </c>
      <c r="G104" s="23" t="str">
        <f>TEXT(WEEKDAY(Data_Analyst_Intern_Nikhil_Kumar_February2026[[#This Row],[Order Date]],2), "dddd")</f>
        <v>Thursday</v>
      </c>
      <c r="H104" t="s">
        <v>502</v>
      </c>
      <c r="I104" t="s">
        <v>25</v>
      </c>
      <c r="J104" t="s">
        <v>503</v>
      </c>
      <c r="K104" t="s">
        <v>62</v>
      </c>
      <c r="L104" t="s">
        <v>504</v>
      </c>
      <c r="M104" s="2">
        <v>5999</v>
      </c>
      <c r="N104">
        <v>1</v>
      </c>
      <c r="O104" s="2">
        <v>5999</v>
      </c>
      <c r="P104" t="s">
        <v>29</v>
      </c>
      <c r="Q104">
        <v>0</v>
      </c>
      <c r="R104" s="4">
        <f>IFERROR(Data_Analyst_Intern_Nikhil_Kumar_February2026[[#This Row],[Total]]/Data_Analyst_Intern_Nikhil_Kumar_February2026[[#This Row],[Discount(%)]],0)</f>
        <v>0</v>
      </c>
      <c r="S104" s="2">
        <f>Data_Analyst_Intern_Nikhil_Kumar_February2026[[#This Row],[Total]]-Data_Analyst_Intern_Nikhil_Kumar_February2026[[#This Row],[Discount Amount]]</f>
        <v>5999</v>
      </c>
      <c r="T104" t="s">
        <v>44</v>
      </c>
      <c r="U104" t="s">
        <v>66</v>
      </c>
      <c r="V104" t="s">
        <v>156</v>
      </c>
      <c r="W104" t="s">
        <v>98</v>
      </c>
      <c r="X104" t="s">
        <v>32</v>
      </c>
      <c r="Y104" s="1">
        <v>45604</v>
      </c>
      <c r="Z104" s="3">
        <f>Data_Analyst_Intern_Nikhil_Kumar_February2026[[#This Row],[Del Date]]-Data_Analyst_Intern_Nikhil_Kumar_February2026[[#This Row],[Order Date]]</f>
        <v>14</v>
      </c>
      <c r="AA104" s="3" t="str" cm="1">
        <f t="array" ref="AA104">_xlfn.IFS(Data_Analyst_Intern_Nikhil_Kumar_February2026[[#This Row],[Del Days]]&lt;=7,"Fast",Data_Analyst_Intern_Nikhil_Kumar_February2026[[#This Row],[Del Days]]&lt;=15,"Standard",Data_Analyst_Intern_Nikhil_Kumar_February2026[[#This Row],[Del Days]]&gt;15,"Slow")</f>
        <v>Standard</v>
      </c>
      <c r="AB104" t="s">
        <v>34</v>
      </c>
      <c r="AC104">
        <f>IF(Data_Analyst_Intern_Nikhil_Kumar_February2026[[#This Row],[Status]]="RTO", 1,0)</f>
        <v>0</v>
      </c>
      <c r="AD104">
        <f>IF(Data_Analyst_Intern_Nikhil_Kumar_February2026[[#This Row],[Status]]="Delivered",1,0)</f>
        <v>1</v>
      </c>
      <c r="AE104" t="s">
        <v>35</v>
      </c>
      <c r="AF104">
        <f>IF(AND(Data_Analyst_Intern_Nikhil_Kumar_February2026[[#This Row],[Status]]="Delivered",Data_Analyst_Intern_Nikhil_Kumar_February2026[[#This Row],[Return?]]="Yes"),1,0)</f>
        <v>0</v>
      </c>
      <c r="AG104" t="s">
        <v>29</v>
      </c>
      <c r="AI104" t="s">
        <v>36</v>
      </c>
    </row>
    <row r="105" spans="1:35" x14ac:dyDescent="0.3">
      <c r="A105" t="s">
        <v>505</v>
      </c>
      <c r="B105" s="1">
        <v>45591</v>
      </c>
      <c r="C105" s="1" t="str">
        <f>TEXT(Data_Analyst_Intern_Nikhil_Kumar_February2026[[#This Row],[Order Date]], "mmmm")</f>
        <v>October</v>
      </c>
      <c r="D105" s="23">
        <f>WEEKNUM(Data_Analyst_Intern_Nikhil_Kumar_February2026[[#This Row],[Order Date]],2)</f>
        <v>43</v>
      </c>
      <c r="E105" s="23" t="str">
        <f>TEXT(Data_Analyst_Intern_Nikhil_Kumar_February2026[[#This Row],[Order Date]],"dddd")</f>
        <v>Saturday</v>
      </c>
      <c r="F105" s="1">
        <v>45586</v>
      </c>
      <c r="G105" s="23" t="str">
        <f>TEXT(WEEKDAY(Data_Analyst_Intern_Nikhil_Kumar_February2026[[#This Row],[Order Date]],2), "dddd")</f>
        <v>Friday</v>
      </c>
      <c r="H105" t="s">
        <v>506</v>
      </c>
      <c r="I105" t="s">
        <v>25</v>
      </c>
      <c r="J105" t="s">
        <v>507</v>
      </c>
      <c r="K105" t="s">
        <v>72</v>
      </c>
      <c r="L105" t="s">
        <v>508</v>
      </c>
      <c r="M105" s="2">
        <v>1799</v>
      </c>
      <c r="N105">
        <v>1</v>
      </c>
      <c r="O105" s="2">
        <v>1799</v>
      </c>
      <c r="P105" t="s">
        <v>43</v>
      </c>
      <c r="Q105">
        <v>20</v>
      </c>
      <c r="R105" s="4">
        <f>IFERROR(Data_Analyst_Intern_Nikhil_Kumar_February2026[[#This Row],[Total]]/Data_Analyst_Intern_Nikhil_Kumar_February2026[[#This Row],[Discount(%)]],0)</f>
        <v>89.95</v>
      </c>
      <c r="S105" s="2">
        <f>Data_Analyst_Intern_Nikhil_Kumar_February2026[[#This Row],[Total]]-Data_Analyst_Intern_Nikhil_Kumar_February2026[[#This Row],[Discount Amount]]</f>
        <v>1709.05</v>
      </c>
      <c r="T105" t="s">
        <v>56</v>
      </c>
      <c r="U105" t="s">
        <v>45</v>
      </c>
      <c r="V105" t="s">
        <v>161</v>
      </c>
      <c r="W105" t="s">
        <v>162</v>
      </c>
      <c r="X105" t="s">
        <v>46</v>
      </c>
      <c r="Y105" s="1"/>
      <c r="Z105" s="1">
        <f>Data_Analyst_Intern_Nikhil_Kumar_February2026[[#This Row],[Del Date]]-Data_Analyst_Intern_Nikhil_Kumar_February2026[[#This Row],[Order Date]]</f>
        <v>-45591</v>
      </c>
      <c r="AA105" s="1" t="str" cm="1">
        <f t="array" ref="AA105">_xlfn.IFS(Data_Analyst_Intern_Nikhil_Kumar_February2026[[#This Row],[Del Days]]&lt;=7,"Fast",Data_Analyst_Intern_Nikhil_Kumar_February2026[[#This Row],[Del Days]]&lt;=15,"Standard",Data_Analyst_Intern_Nikhil_Kumar_February2026[[#This Row],[Del Days]]&gt;15,"Slow")</f>
        <v>Fast</v>
      </c>
      <c r="AB105" t="s">
        <v>121</v>
      </c>
      <c r="AC105">
        <f>IF(Data_Analyst_Intern_Nikhil_Kumar_February2026[[#This Row],[Status]]="RTO", 1,0)</f>
        <v>1</v>
      </c>
      <c r="AD105">
        <f>IF(Data_Analyst_Intern_Nikhil_Kumar_February2026[[#This Row],[Status]]="Delivered",1,0)</f>
        <v>0</v>
      </c>
      <c r="AE105" t="s">
        <v>35</v>
      </c>
      <c r="AF105">
        <f>IF(AND(Data_Analyst_Intern_Nikhil_Kumar_February2026[[#This Row],[Status]]="Delivered",Data_Analyst_Intern_Nikhil_Kumar_February2026[[#This Row],[Return?]]="Yes"),1,0)</f>
        <v>0</v>
      </c>
      <c r="AG105" t="s">
        <v>29</v>
      </c>
      <c r="AI105" t="s">
        <v>36</v>
      </c>
    </row>
    <row r="106" spans="1:35" x14ac:dyDescent="0.3">
      <c r="A106" t="s">
        <v>509</v>
      </c>
      <c r="B106" s="1">
        <v>45591</v>
      </c>
      <c r="C106" s="1" t="str">
        <f>TEXT(Data_Analyst_Intern_Nikhil_Kumar_February2026[[#This Row],[Order Date]], "mmmm")</f>
        <v>October</v>
      </c>
      <c r="D106" s="23">
        <f>WEEKNUM(Data_Analyst_Intern_Nikhil_Kumar_February2026[[#This Row],[Order Date]],2)</f>
        <v>43</v>
      </c>
      <c r="E106" s="23" t="str">
        <f>TEXT(Data_Analyst_Intern_Nikhil_Kumar_February2026[[#This Row],[Order Date]],"dddd")</f>
        <v>Saturday</v>
      </c>
      <c r="F106" s="1">
        <v>45586</v>
      </c>
      <c r="G106" s="23" t="str">
        <f>TEXT(WEEKDAY(Data_Analyst_Intern_Nikhil_Kumar_February2026[[#This Row],[Order Date]],2), "dddd")</f>
        <v>Friday</v>
      </c>
      <c r="H106" t="s">
        <v>510</v>
      </c>
      <c r="I106" t="s">
        <v>25</v>
      </c>
      <c r="J106" t="s">
        <v>511</v>
      </c>
      <c r="K106" t="s">
        <v>54</v>
      </c>
      <c r="L106" t="s">
        <v>512</v>
      </c>
      <c r="M106" s="2">
        <v>1999</v>
      </c>
      <c r="N106">
        <v>1</v>
      </c>
      <c r="O106" s="2">
        <v>1999</v>
      </c>
      <c r="P106" t="s">
        <v>29</v>
      </c>
      <c r="Q106">
        <v>0</v>
      </c>
      <c r="R106" s="4">
        <f>IFERROR(Data_Analyst_Intern_Nikhil_Kumar_February2026[[#This Row],[Total]]/Data_Analyst_Intern_Nikhil_Kumar_February2026[[#This Row],[Discount(%)]],0)</f>
        <v>0</v>
      </c>
      <c r="S106" s="2">
        <f>Data_Analyst_Intern_Nikhil_Kumar_February2026[[#This Row],[Total]]-Data_Analyst_Intern_Nikhil_Kumar_February2026[[#This Row],[Discount Amount]]</f>
        <v>1999</v>
      </c>
      <c r="T106" t="s">
        <v>112</v>
      </c>
      <c r="U106" t="s">
        <v>31</v>
      </c>
      <c r="V106" t="s">
        <v>167</v>
      </c>
      <c r="W106" t="s">
        <v>151</v>
      </c>
      <c r="X106" t="s">
        <v>32</v>
      </c>
      <c r="Y106" s="1">
        <v>45603</v>
      </c>
      <c r="Z106" s="3">
        <f>Data_Analyst_Intern_Nikhil_Kumar_February2026[[#This Row],[Del Date]]-Data_Analyst_Intern_Nikhil_Kumar_February2026[[#This Row],[Order Date]]</f>
        <v>12</v>
      </c>
      <c r="AA106" s="3" t="str" cm="1">
        <f t="array" ref="AA106">_xlfn.IFS(Data_Analyst_Intern_Nikhil_Kumar_February2026[[#This Row],[Del Days]]&lt;=7,"Fast",Data_Analyst_Intern_Nikhil_Kumar_February2026[[#This Row],[Del Days]]&lt;=15,"Standard",Data_Analyst_Intern_Nikhil_Kumar_February2026[[#This Row],[Del Days]]&gt;15,"Slow")</f>
        <v>Standard</v>
      </c>
      <c r="AB106" t="s">
        <v>34</v>
      </c>
      <c r="AC106">
        <f>IF(Data_Analyst_Intern_Nikhil_Kumar_February2026[[#This Row],[Status]]="RTO", 1,0)</f>
        <v>0</v>
      </c>
      <c r="AD106">
        <f>IF(Data_Analyst_Intern_Nikhil_Kumar_February2026[[#This Row],[Status]]="Delivered",1,0)</f>
        <v>1</v>
      </c>
      <c r="AE106" t="s">
        <v>47</v>
      </c>
      <c r="AF106">
        <f>IF(AND(Data_Analyst_Intern_Nikhil_Kumar_February2026[[#This Row],[Status]]="Delivered",Data_Analyst_Intern_Nikhil_Kumar_February2026[[#This Row],[Return?]]="Yes"),1,0)</f>
        <v>1</v>
      </c>
      <c r="AG106" t="s">
        <v>105</v>
      </c>
      <c r="AH106" s="1">
        <v>45633</v>
      </c>
      <c r="AI106" t="s">
        <v>49</v>
      </c>
    </row>
    <row r="107" spans="1:35" x14ac:dyDescent="0.3">
      <c r="A107" t="s">
        <v>513</v>
      </c>
      <c r="B107" s="1">
        <v>45591</v>
      </c>
      <c r="C107" s="1" t="str">
        <f>TEXT(Data_Analyst_Intern_Nikhil_Kumar_February2026[[#This Row],[Order Date]], "mmmm")</f>
        <v>October</v>
      </c>
      <c r="D107" s="23">
        <f>WEEKNUM(Data_Analyst_Intern_Nikhil_Kumar_February2026[[#This Row],[Order Date]],2)</f>
        <v>43</v>
      </c>
      <c r="E107" s="23" t="str">
        <f>TEXT(Data_Analyst_Intern_Nikhil_Kumar_February2026[[#This Row],[Order Date]],"dddd")</f>
        <v>Saturday</v>
      </c>
      <c r="F107" s="1">
        <v>45586</v>
      </c>
      <c r="G107" s="23" t="str">
        <f>TEXT(WEEKDAY(Data_Analyst_Intern_Nikhil_Kumar_February2026[[#This Row],[Order Date]],2), "dddd")</f>
        <v>Friday</v>
      </c>
      <c r="H107" t="s">
        <v>514</v>
      </c>
      <c r="I107" t="s">
        <v>39</v>
      </c>
      <c r="J107" t="s">
        <v>515</v>
      </c>
      <c r="K107" t="s">
        <v>41</v>
      </c>
      <c r="L107" t="s">
        <v>516</v>
      </c>
      <c r="M107" s="2">
        <v>2499</v>
      </c>
      <c r="N107">
        <v>1</v>
      </c>
      <c r="O107" s="2">
        <v>2499</v>
      </c>
      <c r="P107" t="s">
        <v>29</v>
      </c>
      <c r="Q107">
        <v>0</v>
      </c>
      <c r="R107" s="4">
        <f>IFERROR(Data_Analyst_Intern_Nikhil_Kumar_February2026[[#This Row],[Total]]/Data_Analyst_Intern_Nikhil_Kumar_February2026[[#This Row],[Discount(%)]],0)</f>
        <v>0</v>
      </c>
      <c r="S107" s="2">
        <f>Data_Analyst_Intern_Nikhil_Kumar_February2026[[#This Row],[Total]]-Data_Analyst_Intern_Nikhil_Kumar_February2026[[#This Row],[Discount Amount]]</f>
        <v>2499</v>
      </c>
      <c r="T107" t="s">
        <v>65</v>
      </c>
      <c r="U107" t="s">
        <v>66</v>
      </c>
      <c r="V107" t="s">
        <v>172</v>
      </c>
      <c r="W107" t="s">
        <v>33</v>
      </c>
      <c r="X107" t="s">
        <v>32</v>
      </c>
      <c r="Y107" s="1">
        <v>45604</v>
      </c>
      <c r="Z107" s="3">
        <f>Data_Analyst_Intern_Nikhil_Kumar_February2026[[#This Row],[Del Date]]-Data_Analyst_Intern_Nikhil_Kumar_February2026[[#This Row],[Order Date]]</f>
        <v>13</v>
      </c>
      <c r="AA107" s="3" t="str" cm="1">
        <f t="array" ref="AA107">_xlfn.IFS(Data_Analyst_Intern_Nikhil_Kumar_February2026[[#This Row],[Del Days]]&lt;=7,"Fast",Data_Analyst_Intern_Nikhil_Kumar_February2026[[#This Row],[Del Days]]&lt;=15,"Standard",Data_Analyst_Intern_Nikhil_Kumar_February2026[[#This Row],[Del Days]]&gt;15,"Slow")</f>
        <v>Standard</v>
      </c>
      <c r="AB107" t="s">
        <v>34</v>
      </c>
      <c r="AC107">
        <f>IF(Data_Analyst_Intern_Nikhil_Kumar_February2026[[#This Row],[Status]]="RTO", 1,0)</f>
        <v>0</v>
      </c>
      <c r="AD107">
        <f>IF(Data_Analyst_Intern_Nikhil_Kumar_February2026[[#This Row],[Status]]="Delivered",1,0)</f>
        <v>1</v>
      </c>
      <c r="AE107" t="s">
        <v>35</v>
      </c>
      <c r="AF107">
        <f>IF(AND(Data_Analyst_Intern_Nikhil_Kumar_February2026[[#This Row],[Status]]="Delivered",Data_Analyst_Intern_Nikhil_Kumar_February2026[[#This Row],[Return?]]="Yes"),1,0)</f>
        <v>0</v>
      </c>
      <c r="AG107" t="s">
        <v>29</v>
      </c>
      <c r="AI107" t="s">
        <v>36</v>
      </c>
    </row>
    <row r="108" spans="1:35" x14ac:dyDescent="0.3">
      <c r="A108" t="s">
        <v>517</v>
      </c>
      <c r="B108" s="1">
        <v>45591</v>
      </c>
      <c r="C108" s="1" t="str">
        <f>TEXT(Data_Analyst_Intern_Nikhil_Kumar_February2026[[#This Row],[Order Date]], "mmmm")</f>
        <v>October</v>
      </c>
      <c r="D108" s="23">
        <f>WEEKNUM(Data_Analyst_Intern_Nikhil_Kumar_February2026[[#This Row],[Order Date]],2)</f>
        <v>43</v>
      </c>
      <c r="E108" s="23" t="str">
        <f>TEXT(Data_Analyst_Intern_Nikhil_Kumar_February2026[[#This Row],[Order Date]],"dddd")</f>
        <v>Saturday</v>
      </c>
      <c r="F108" s="1">
        <v>45586</v>
      </c>
      <c r="G108" s="23" t="str">
        <f>TEXT(WEEKDAY(Data_Analyst_Intern_Nikhil_Kumar_February2026[[#This Row],[Order Date]],2), "dddd")</f>
        <v>Friday</v>
      </c>
      <c r="H108" t="s">
        <v>518</v>
      </c>
      <c r="I108" t="s">
        <v>25</v>
      </c>
      <c r="J108" t="s">
        <v>519</v>
      </c>
      <c r="K108" t="s">
        <v>27</v>
      </c>
      <c r="L108" t="s">
        <v>520</v>
      </c>
      <c r="M108" s="2">
        <v>1599</v>
      </c>
      <c r="N108">
        <v>1</v>
      </c>
      <c r="O108" s="2">
        <v>1599</v>
      </c>
      <c r="P108" t="s">
        <v>64</v>
      </c>
      <c r="Q108">
        <v>15</v>
      </c>
      <c r="R108" s="4">
        <f>IFERROR(Data_Analyst_Intern_Nikhil_Kumar_February2026[[#This Row],[Total]]/Data_Analyst_Intern_Nikhil_Kumar_February2026[[#This Row],[Discount(%)]],0)</f>
        <v>106.6</v>
      </c>
      <c r="S108" s="2">
        <f>Data_Analyst_Intern_Nikhil_Kumar_February2026[[#This Row],[Total]]-Data_Analyst_Intern_Nikhil_Kumar_February2026[[#This Row],[Discount Amount]]</f>
        <v>1492.4</v>
      </c>
      <c r="T108" t="s">
        <v>30</v>
      </c>
      <c r="U108" t="s">
        <v>45</v>
      </c>
      <c r="V108" t="s">
        <v>177</v>
      </c>
      <c r="W108" t="s">
        <v>68</v>
      </c>
      <c r="X108" t="s">
        <v>57</v>
      </c>
      <c r="Y108" s="1">
        <v>45602</v>
      </c>
      <c r="Z108" s="3">
        <f>Data_Analyst_Intern_Nikhil_Kumar_February2026[[#This Row],[Del Date]]-Data_Analyst_Intern_Nikhil_Kumar_February2026[[#This Row],[Order Date]]</f>
        <v>11</v>
      </c>
      <c r="AA108" s="3" t="str" cm="1">
        <f t="array" ref="AA108">_xlfn.IFS(Data_Analyst_Intern_Nikhil_Kumar_February2026[[#This Row],[Del Days]]&lt;=7,"Fast",Data_Analyst_Intern_Nikhil_Kumar_February2026[[#This Row],[Del Days]]&lt;=15,"Standard",Data_Analyst_Intern_Nikhil_Kumar_February2026[[#This Row],[Del Days]]&gt;15,"Slow")</f>
        <v>Standard</v>
      </c>
      <c r="AB108" t="s">
        <v>34</v>
      </c>
      <c r="AC108">
        <f>IF(Data_Analyst_Intern_Nikhil_Kumar_February2026[[#This Row],[Status]]="RTO", 1,0)</f>
        <v>0</v>
      </c>
      <c r="AD108">
        <f>IF(Data_Analyst_Intern_Nikhil_Kumar_February2026[[#This Row],[Status]]="Delivered",1,0)</f>
        <v>1</v>
      </c>
      <c r="AE108" t="s">
        <v>47</v>
      </c>
      <c r="AF108">
        <f>IF(AND(Data_Analyst_Intern_Nikhil_Kumar_February2026[[#This Row],[Status]]="Delivered",Data_Analyst_Intern_Nikhil_Kumar_February2026[[#This Row],[Return?]]="Yes"),1,0)</f>
        <v>1</v>
      </c>
      <c r="AG108" t="s">
        <v>48</v>
      </c>
      <c r="AH108" s="1">
        <v>45631</v>
      </c>
      <c r="AI108" t="s">
        <v>49</v>
      </c>
    </row>
    <row r="109" spans="1:35" x14ac:dyDescent="0.3">
      <c r="A109" t="s">
        <v>521</v>
      </c>
      <c r="B109" s="1">
        <v>45592</v>
      </c>
      <c r="C109" s="1" t="str">
        <f>TEXT(Data_Analyst_Intern_Nikhil_Kumar_February2026[[#This Row],[Order Date]], "mmmm")</f>
        <v>October</v>
      </c>
      <c r="D109" s="23">
        <f>WEEKNUM(Data_Analyst_Intern_Nikhil_Kumar_February2026[[#This Row],[Order Date]],2)</f>
        <v>43</v>
      </c>
      <c r="E109" s="23" t="str">
        <f>TEXT(Data_Analyst_Intern_Nikhil_Kumar_February2026[[#This Row],[Order Date]],"dddd")</f>
        <v>Sunday</v>
      </c>
      <c r="F109" s="1">
        <v>45586</v>
      </c>
      <c r="G109" s="23" t="str">
        <f>TEXT(WEEKDAY(Data_Analyst_Intern_Nikhil_Kumar_February2026[[#This Row],[Order Date]],2), "dddd")</f>
        <v>Saturday</v>
      </c>
      <c r="H109" t="s">
        <v>522</v>
      </c>
      <c r="I109" t="s">
        <v>25</v>
      </c>
      <c r="J109" t="s">
        <v>523</v>
      </c>
      <c r="K109" t="s">
        <v>62</v>
      </c>
      <c r="L109" t="s">
        <v>524</v>
      </c>
      <c r="M109" s="2">
        <v>3999</v>
      </c>
      <c r="N109">
        <v>1</v>
      </c>
      <c r="O109" s="2">
        <v>3999</v>
      </c>
      <c r="P109" t="s">
        <v>29</v>
      </c>
      <c r="Q109">
        <v>0</v>
      </c>
      <c r="R109" s="4">
        <f>IFERROR(Data_Analyst_Intern_Nikhil_Kumar_February2026[[#This Row],[Total]]/Data_Analyst_Intern_Nikhil_Kumar_February2026[[#This Row],[Discount(%)]],0)</f>
        <v>0</v>
      </c>
      <c r="S109" s="2">
        <f>Data_Analyst_Intern_Nikhil_Kumar_February2026[[#This Row],[Total]]-Data_Analyst_Intern_Nikhil_Kumar_February2026[[#This Row],[Discount Amount]]</f>
        <v>3999</v>
      </c>
      <c r="T109" t="s">
        <v>44</v>
      </c>
      <c r="U109" t="s">
        <v>31</v>
      </c>
      <c r="V109" t="s">
        <v>182</v>
      </c>
      <c r="W109" t="s">
        <v>183</v>
      </c>
      <c r="X109" t="s">
        <v>57</v>
      </c>
      <c r="Y109" s="1">
        <v>45605</v>
      </c>
      <c r="Z109" s="3">
        <f>Data_Analyst_Intern_Nikhil_Kumar_February2026[[#This Row],[Del Date]]-Data_Analyst_Intern_Nikhil_Kumar_February2026[[#This Row],[Order Date]]</f>
        <v>13</v>
      </c>
      <c r="AA109" s="3" t="str" cm="1">
        <f t="array" ref="AA109">_xlfn.IFS(Data_Analyst_Intern_Nikhil_Kumar_February2026[[#This Row],[Del Days]]&lt;=7,"Fast",Data_Analyst_Intern_Nikhil_Kumar_February2026[[#This Row],[Del Days]]&lt;=15,"Standard",Data_Analyst_Intern_Nikhil_Kumar_February2026[[#This Row],[Del Days]]&gt;15,"Slow")</f>
        <v>Standard</v>
      </c>
      <c r="AB109" t="s">
        <v>34</v>
      </c>
      <c r="AC109">
        <f>IF(Data_Analyst_Intern_Nikhil_Kumar_February2026[[#This Row],[Status]]="RTO", 1,0)</f>
        <v>0</v>
      </c>
      <c r="AD109">
        <f>IF(Data_Analyst_Intern_Nikhil_Kumar_February2026[[#This Row],[Status]]="Delivered",1,0)</f>
        <v>1</v>
      </c>
      <c r="AE109" t="s">
        <v>35</v>
      </c>
      <c r="AF109">
        <f>IF(AND(Data_Analyst_Intern_Nikhil_Kumar_February2026[[#This Row],[Status]]="Delivered",Data_Analyst_Intern_Nikhil_Kumar_February2026[[#This Row],[Return?]]="Yes"),1,0)</f>
        <v>0</v>
      </c>
      <c r="AG109" t="s">
        <v>29</v>
      </c>
      <c r="AI109" t="s">
        <v>36</v>
      </c>
    </row>
    <row r="110" spans="1:35" x14ac:dyDescent="0.3">
      <c r="A110" t="s">
        <v>525</v>
      </c>
      <c r="B110" s="1">
        <v>45592</v>
      </c>
      <c r="C110" s="1" t="str">
        <f>TEXT(Data_Analyst_Intern_Nikhil_Kumar_February2026[[#This Row],[Order Date]], "mmmm")</f>
        <v>October</v>
      </c>
      <c r="D110" s="23">
        <f>WEEKNUM(Data_Analyst_Intern_Nikhil_Kumar_February2026[[#This Row],[Order Date]],2)</f>
        <v>43</v>
      </c>
      <c r="E110" s="23" t="str">
        <f>TEXT(Data_Analyst_Intern_Nikhil_Kumar_February2026[[#This Row],[Order Date]],"dddd")</f>
        <v>Sunday</v>
      </c>
      <c r="F110" s="1">
        <v>45586</v>
      </c>
      <c r="G110" s="23" t="str">
        <f>TEXT(WEEKDAY(Data_Analyst_Intern_Nikhil_Kumar_February2026[[#This Row],[Order Date]],2), "dddd")</f>
        <v>Saturday</v>
      </c>
      <c r="H110" t="s">
        <v>526</v>
      </c>
      <c r="I110" t="s">
        <v>25</v>
      </c>
      <c r="J110" t="s">
        <v>527</v>
      </c>
      <c r="K110" t="s">
        <v>72</v>
      </c>
      <c r="L110" t="s">
        <v>528</v>
      </c>
      <c r="M110" s="2">
        <v>599</v>
      </c>
      <c r="N110">
        <v>2</v>
      </c>
      <c r="O110" s="2">
        <v>1198</v>
      </c>
      <c r="P110" t="s">
        <v>29</v>
      </c>
      <c r="Q110">
        <v>0</v>
      </c>
      <c r="R110" s="4">
        <f>IFERROR(Data_Analyst_Intern_Nikhil_Kumar_February2026[[#This Row],[Total]]/Data_Analyst_Intern_Nikhil_Kumar_February2026[[#This Row],[Discount(%)]],0)</f>
        <v>0</v>
      </c>
      <c r="S110" s="2">
        <f>Data_Analyst_Intern_Nikhil_Kumar_February2026[[#This Row],[Total]]-Data_Analyst_Intern_Nikhil_Kumar_February2026[[#This Row],[Discount Amount]]</f>
        <v>1198</v>
      </c>
      <c r="T110" t="s">
        <v>56</v>
      </c>
      <c r="U110" t="s">
        <v>66</v>
      </c>
      <c r="V110" t="s">
        <v>188</v>
      </c>
      <c r="W110" t="s">
        <v>189</v>
      </c>
      <c r="X110" t="s">
        <v>57</v>
      </c>
      <c r="Y110" s="1">
        <v>45603</v>
      </c>
      <c r="Z110" s="3">
        <f>Data_Analyst_Intern_Nikhil_Kumar_February2026[[#This Row],[Del Date]]-Data_Analyst_Intern_Nikhil_Kumar_February2026[[#This Row],[Order Date]]</f>
        <v>11</v>
      </c>
      <c r="AA110" s="3" t="str" cm="1">
        <f t="array" ref="AA110">_xlfn.IFS(Data_Analyst_Intern_Nikhil_Kumar_February2026[[#This Row],[Del Days]]&lt;=7,"Fast",Data_Analyst_Intern_Nikhil_Kumar_February2026[[#This Row],[Del Days]]&lt;=15,"Standard",Data_Analyst_Intern_Nikhil_Kumar_February2026[[#This Row],[Del Days]]&gt;15,"Slow")</f>
        <v>Standard</v>
      </c>
      <c r="AB110" t="s">
        <v>34</v>
      </c>
      <c r="AC110">
        <f>IF(Data_Analyst_Intern_Nikhil_Kumar_February2026[[#This Row],[Status]]="RTO", 1,0)</f>
        <v>0</v>
      </c>
      <c r="AD110">
        <f>IF(Data_Analyst_Intern_Nikhil_Kumar_February2026[[#This Row],[Status]]="Delivered",1,0)</f>
        <v>1</v>
      </c>
      <c r="AE110" t="s">
        <v>47</v>
      </c>
      <c r="AF110">
        <f>IF(AND(Data_Analyst_Intern_Nikhil_Kumar_February2026[[#This Row],[Status]]="Delivered",Data_Analyst_Intern_Nikhil_Kumar_February2026[[#This Row],[Return?]]="Yes"),1,0)</f>
        <v>1</v>
      </c>
      <c r="AG110" t="s">
        <v>139</v>
      </c>
      <c r="AH110" s="1">
        <v>45632</v>
      </c>
      <c r="AI110" t="s">
        <v>49</v>
      </c>
    </row>
    <row r="111" spans="1:35" x14ac:dyDescent="0.3">
      <c r="A111" t="s">
        <v>529</v>
      </c>
      <c r="B111" s="1">
        <v>45592</v>
      </c>
      <c r="C111" s="1" t="str">
        <f>TEXT(Data_Analyst_Intern_Nikhil_Kumar_February2026[[#This Row],[Order Date]], "mmmm")</f>
        <v>October</v>
      </c>
      <c r="D111" s="23">
        <f>WEEKNUM(Data_Analyst_Intern_Nikhil_Kumar_February2026[[#This Row],[Order Date]],2)</f>
        <v>43</v>
      </c>
      <c r="E111" s="23" t="str">
        <f>TEXT(Data_Analyst_Intern_Nikhil_Kumar_February2026[[#This Row],[Order Date]],"dddd")</f>
        <v>Sunday</v>
      </c>
      <c r="F111" s="1">
        <v>45586</v>
      </c>
      <c r="G111" s="23" t="str">
        <f>TEXT(WEEKDAY(Data_Analyst_Intern_Nikhil_Kumar_February2026[[#This Row],[Order Date]],2), "dddd")</f>
        <v>Saturday</v>
      </c>
      <c r="H111" t="s">
        <v>530</v>
      </c>
      <c r="I111" t="s">
        <v>39</v>
      </c>
      <c r="J111" t="s">
        <v>531</v>
      </c>
      <c r="K111" t="s">
        <v>54</v>
      </c>
      <c r="L111" t="s">
        <v>532</v>
      </c>
      <c r="M111" s="2">
        <v>1799</v>
      </c>
      <c r="N111">
        <v>1</v>
      </c>
      <c r="O111" s="2">
        <v>1799</v>
      </c>
      <c r="P111" t="s">
        <v>43</v>
      </c>
      <c r="Q111">
        <v>20</v>
      </c>
      <c r="R111" s="4">
        <f>IFERROR(Data_Analyst_Intern_Nikhil_Kumar_February2026[[#This Row],[Total]]/Data_Analyst_Intern_Nikhil_Kumar_February2026[[#This Row],[Discount(%)]],0)</f>
        <v>89.95</v>
      </c>
      <c r="S111" s="2">
        <f>Data_Analyst_Intern_Nikhil_Kumar_February2026[[#This Row],[Total]]-Data_Analyst_Intern_Nikhil_Kumar_February2026[[#This Row],[Discount Amount]]</f>
        <v>1709.05</v>
      </c>
      <c r="T111" t="s">
        <v>30</v>
      </c>
      <c r="U111" t="s">
        <v>45</v>
      </c>
      <c r="V111" t="s">
        <v>194</v>
      </c>
      <c r="W111" t="s">
        <v>183</v>
      </c>
      <c r="X111" t="s">
        <v>57</v>
      </c>
      <c r="Y111" s="1">
        <v>45604</v>
      </c>
      <c r="Z111" s="3">
        <f>Data_Analyst_Intern_Nikhil_Kumar_February2026[[#This Row],[Del Date]]-Data_Analyst_Intern_Nikhil_Kumar_February2026[[#This Row],[Order Date]]</f>
        <v>12</v>
      </c>
      <c r="AA111" s="3" t="str" cm="1">
        <f t="array" ref="AA111">_xlfn.IFS(Data_Analyst_Intern_Nikhil_Kumar_February2026[[#This Row],[Del Days]]&lt;=7,"Fast",Data_Analyst_Intern_Nikhil_Kumar_February2026[[#This Row],[Del Days]]&lt;=15,"Standard",Data_Analyst_Intern_Nikhil_Kumar_February2026[[#This Row],[Del Days]]&gt;15,"Slow")</f>
        <v>Standard</v>
      </c>
      <c r="AB111" t="s">
        <v>34</v>
      </c>
      <c r="AC111">
        <f>IF(Data_Analyst_Intern_Nikhil_Kumar_February2026[[#This Row],[Status]]="RTO", 1,0)</f>
        <v>0</v>
      </c>
      <c r="AD111">
        <f>IF(Data_Analyst_Intern_Nikhil_Kumar_February2026[[#This Row],[Status]]="Delivered",1,0)</f>
        <v>1</v>
      </c>
      <c r="AE111" t="s">
        <v>35</v>
      </c>
      <c r="AF111">
        <f>IF(AND(Data_Analyst_Intern_Nikhil_Kumar_February2026[[#This Row],[Status]]="Delivered",Data_Analyst_Intern_Nikhil_Kumar_February2026[[#This Row],[Return?]]="Yes"),1,0)</f>
        <v>0</v>
      </c>
      <c r="AG111" t="s">
        <v>29</v>
      </c>
      <c r="AI111" t="s">
        <v>36</v>
      </c>
    </row>
    <row r="112" spans="1:35" x14ac:dyDescent="0.3">
      <c r="A112" t="s">
        <v>533</v>
      </c>
      <c r="B112" s="1">
        <v>45593</v>
      </c>
      <c r="C112" s="1" t="str">
        <f>TEXT(Data_Analyst_Intern_Nikhil_Kumar_February2026[[#This Row],[Order Date]], "mmmm")</f>
        <v>October</v>
      </c>
      <c r="D112" s="23">
        <f>WEEKNUM(Data_Analyst_Intern_Nikhil_Kumar_February2026[[#This Row],[Order Date]],2)</f>
        <v>44</v>
      </c>
      <c r="E112" s="23" t="str">
        <f>TEXT(Data_Analyst_Intern_Nikhil_Kumar_February2026[[#This Row],[Order Date]],"dddd")</f>
        <v>Monday</v>
      </c>
      <c r="F112" s="1">
        <v>45593</v>
      </c>
      <c r="G112" s="23" t="str">
        <f>TEXT(WEEKDAY(Data_Analyst_Intern_Nikhil_Kumar_February2026[[#This Row],[Order Date]],2), "dddd")</f>
        <v>Sunday</v>
      </c>
      <c r="H112" t="s">
        <v>534</v>
      </c>
      <c r="I112" t="s">
        <v>25</v>
      </c>
      <c r="J112" t="s">
        <v>535</v>
      </c>
      <c r="K112" t="s">
        <v>41</v>
      </c>
      <c r="L112" t="s">
        <v>536</v>
      </c>
      <c r="M112" s="2">
        <v>3499</v>
      </c>
      <c r="N112">
        <v>1</v>
      </c>
      <c r="O112" s="2">
        <v>3499</v>
      </c>
      <c r="P112" t="s">
        <v>537</v>
      </c>
      <c r="Q112">
        <v>40</v>
      </c>
      <c r="R112" s="4">
        <f>IFERROR(Data_Analyst_Intern_Nikhil_Kumar_February2026[[#This Row],[Total]]/Data_Analyst_Intern_Nikhil_Kumar_February2026[[#This Row],[Discount(%)]],0)</f>
        <v>87.474999999999994</v>
      </c>
      <c r="S112" s="2">
        <f>Data_Analyst_Intern_Nikhil_Kumar_February2026[[#This Row],[Total]]-Data_Analyst_Intern_Nikhil_Kumar_February2026[[#This Row],[Discount Amount]]</f>
        <v>3411.5250000000001</v>
      </c>
      <c r="T112" t="s">
        <v>44</v>
      </c>
      <c r="U112" t="s">
        <v>31</v>
      </c>
      <c r="V112" t="s">
        <v>46</v>
      </c>
      <c r="W112" t="s">
        <v>46</v>
      </c>
      <c r="X112" t="s">
        <v>46</v>
      </c>
      <c r="Y112" s="1">
        <v>45598</v>
      </c>
      <c r="Z112" s="3">
        <f>Data_Analyst_Intern_Nikhil_Kumar_February2026[[#This Row],[Del Date]]-Data_Analyst_Intern_Nikhil_Kumar_February2026[[#This Row],[Order Date]]</f>
        <v>5</v>
      </c>
      <c r="AA112" s="3" t="str" cm="1">
        <f t="array" ref="AA112">_xlfn.IFS(Data_Analyst_Intern_Nikhil_Kumar_February2026[[#This Row],[Del Days]]&lt;=7,"Fast",Data_Analyst_Intern_Nikhil_Kumar_February2026[[#This Row],[Del Days]]&lt;=15,"Standard",Data_Analyst_Intern_Nikhil_Kumar_February2026[[#This Row],[Del Days]]&gt;15,"Slow")</f>
        <v>Fast</v>
      </c>
      <c r="AB112" t="s">
        <v>34</v>
      </c>
      <c r="AC112">
        <f>IF(Data_Analyst_Intern_Nikhil_Kumar_February2026[[#This Row],[Status]]="RTO", 1,0)</f>
        <v>0</v>
      </c>
      <c r="AD112">
        <f>IF(Data_Analyst_Intern_Nikhil_Kumar_February2026[[#This Row],[Status]]="Delivered",1,0)</f>
        <v>1</v>
      </c>
      <c r="AE112" t="s">
        <v>47</v>
      </c>
      <c r="AF112">
        <f>IF(AND(Data_Analyst_Intern_Nikhil_Kumar_February2026[[#This Row],[Status]]="Delivered",Data_Analyst_Intern_Nikhil_Kumar_February2026[[#This Row],[Return?]]="Yes"),1,0)</f>
        <v>1</v>
      </c>
      <c r="AG112" t="s">
        <v>48</v>
      </c>
      <c r="AH112" s="1">
        <v>45614</v>
      </c>
      <c r="AI112" t="s">
        <v>49</v>
      </c>
    </row>
    <row r="113" spans="1:35" x14ac:dyDescent="0.3">
      <c r="A113" t="s">
        <v>538</v>
      </c>
      <c r="B113" s="1">
        <v>45593</v>
      </c>
      <c r="C113" s="1" t="str">
        <f>TEXT(Data_Analyst_Intern_Nikhil_Kumar_February2026[[#This Row],[Order Date]], "mmmm")</f>
        <v>October</v>
      </c>
      <c r="D113" s="23">
        <f>WEEKNUM(Data_Analyst_Intern_Nikhil_Kumar_February2026[[#This Row],[Order Date]],2)</f>
        <v>44</v>
      </c>
      <c r="E113" s="23" t="str">
        <f>TEXT(Data_Analyst_Intern_Nikhil_Kumar_February2026[[#This Row],[Order Date]],"dddd")</f>
        <v>Monday</v>
      </c>
      <c r="F113" s="1">
        <v>45593</v>
      </c>
      <c r="G113" s="23" t="str">
        <f>TEXT(WEEKDAY(Data_Analyst_Intern_Nikhil_Kumar_February2026[[#This Row],[Order Date]],2), "dddd")</f>
        <v>Sunday</v>
      </c>
      <c r="H113" t="s">
        <v>539</v>
      </c>
      <c r="I113" t="s">
        <v>25</v>
      </c>
      <c r="J113" t="s">
        <v>540</v>
      </c>
      <c r="K113" t="s">
        <v>62</v>
      </c>
      <c r="L113" t="s">
        <v>541</v>
      </c>
      <c r="M113" s="2">
        <v>5999</v>
      </c>
      <c r="N113">
        <v>1</v>
      </c>
      <c r="O113" s="2">
        <v>5999</v>
      </c>
      <c r="P113" t="s">
        <v>537</v>
      </c>
      <c r="Q113">
        <v>40</v>
      </c>
      <c r="R113" s="4">
        <f>IFERROR(Data_Analyst_Intern_Nikhil_Kumar_February2026[[#This Row],[Total]]/Data_Analyst_Intern_Nikhil_Kumar_February2026[[#This Row],[Discount(%)]],0)</f>
        <v>149.97499999999999</v>
      </c>
      <c r="S113" s="2">
        <f>Data_Analyst_Intern_Nikhil_Kumar_February2026[[#This Row],[Total]]-Data_Analyst_Intern_Nikhil_Kumar_February2026[[#This Row],[Discount Amount]]</f>
        <v>5849.0249999999996</v>
      </c>
      <c r="T113" t="s">
        <v>56</v>
      </c>
      <c r="U113" t="s">
        <v>45</v>
      </c>
      <c r="V113" t="s">
        <v>32</v>
      </c>
      <c r="W113" t="s">
        <v>33</v>
      </c>
      <c r="X113" t="s">
        <v>32</v>
      </c>
      <c r="Y113" s="1">
        <v>45599</v>
      </c>
      <c r="Z113" s="3">
        <f>Data_Analyst_Intern_Nikhil_Kumar_February2026[[#This Row],[Del Date]]-Data_Analyst_Intern_Nikhil_Kumar_February2026[[#This Row],[Order Date]]</f>
        <v>6</v>
      </c>
      <c r="AA113" s="3" t="str" cm="1">
        <f t="array" ref="AA113">_xlfn.IFS(Data_Analyst_Intern_Nikhil_Kumar_February2026[[#This Row],[Del Days]]&lt;=7,"Fast",Data_Analyst_Intern_Nikhil_Kumar_February2026[[#This Row],[Del Days]]&lt;=15,"Standard",Data_Analyst_Intern_Nikhil_Kumar_February2026[[#This Row],[Del Days]]&gt;15,"Slow")</f>
        <v>Fast</v>
      </c>
      <c r="AB113" t="s">
        <v>34</v>
      </c>
      <c r="AC113">
        <f>IF(Data_Analyst_Intern_Nikhil_Kumar_February2026[[#This Row],[Status]]="RTO", 1,0)</f>
        <v>0</v>
      </c>
      <c r="AD113">
        <f>IF(Data_Analyst_Intern_Nikhil_Kumar_February2026[[#This Row],[Status]]="Delivered",1,0)</f>
        <v>1</v>
      </c>
      <c r="AE113" t="s">
        <v>47</v>
      </c>
      <c r="AF113">
        <f>IF(AND(Data_Analyst_Intern_Nikhil_Kumar_February2026[[#This Row],[Status]]="Delivered",Data_Analyst_Intern_Nikhil_Kumar_February2026[[#This Row],[Return?]]="Yes"),1,0)</f>
        <v>1</v>
      </c>
      <c r="AG113" t="s">
        <v>105</v>
      </c>
      <c r="AH113" s="1">
        <v>45616</v>
      </c>
      <c r="AI113" t="s">
        <v>49</v>
      </c>
    </row>
    <row r="114" spans="1:35" x14ac:dyDescent="0.3">
      <c r="A114" t="s">
        <v>542</v>
      </c>
      <c r="B114" s="1">
        <v>45593</v>
      </c>
      <c r="C114" s="1" t="str">
        <f>TEXT(Data_Analyst_Intern_Nikhil_Kumar_February2026[[#This Row],[Order Date]], "mmmm")</f>
        <v>October</v>
      </c>
      <c r="D114" s="23">
        <f>WEEKNUM(Data_Analyst_Intern_Nikhil_Kumar_February2026[[#This Row],[Order Date]],2)</f>
        <v>44</v>
      </c>
      <c r="E114" s="23" t="str">
        <f>TEXT(Data_Analyst_Intern_Nikhil_Kumar_February2026[[#This Row],[Order Date]],"dddd")</f>
        <v>Monday</v>
      </c>
      <c r="F114" s="1">
        <v>45593</v>
      </c>
      <c r="G114" s="23" t="str">
        <f>TEXT(WEEKDAY(Data_Analyst_Intern_Nikhil_Kumar_February2026[[#This Row],[Order Date]],2), "dddd")</f>
        <v>Sunday</v>
      </c>
      <c r="H114" t="s">
        <v>543</v>
      </c>
      <c r="I114" t="s">
        <v>25</v>
      </c>
      <c r="J114" t="s">
        <v>544</v>
      </c>
      <c r="K114" t="s">
        <v>27</v>
      </c>
      <c r="L114" t="s">
        <v>545</v>
      </c>
      <c r="M114" s="2">
        <v>2299</v>
      </c>
      <c r="N114">
        <v>2</v>
      </c>
      <c r="O114" s="2">
        <v>4598</v>
      </c>
      <c r="P114" t="s">
        <v>537</v>
      </c>
      <c r="Q114">
        <v>40</v>
      </c>
      <c r="R114" s="4">
        <f>IFERROR(Data_Analyst_Intern_Nikhil_Kumar_February2026[[#This Row],[Total]]/Data_Analyst_Intern_Nikhil_Kumar_February2026[[#This Row],[Discount(%)]],0)</f>
        <v>114.95</v>
      </c>
      <c r="S114" s="2">
        <f>Data_Analyst_Intern_Nikhil_Kumar_February2026[[#This Row],[Total]]-Data_Analyst_Intern_Nikhil_Kumar_February2026[[#This Row],[Discount Amount]]</f>
        <v>4483.05</v>
      </c>
      <c r="T114" t="s">
        <v>30</v>
      </c>
      <c r="U114" t="s">
        <v>66</v>
      </c>
      <c r="V114" t="s">
        <v>103</v>
      </c>
      <c r="W114" t="s">
        <v>104</v>
      </c>
      <c r="X114" t="s">
        <v>46</v>
      </c>
      <c r="Y114" s="1">
        <v>45600</v>
      </c>
      <c r="Z114" s="3">
        <f>Data_Analyst_Intern_Nikhil_Kumar_February2026[[#This Row],[Del Date]]-Data_Analyst_Intern_Nikhil_Kumar_February2026[[#This Row],[Order Date]]</f>
        <v>7</v>
      </c>
      <c r="AA114" s="3" t="str" cm="1">
        <f t="array" ref="AA114">_xlfn.IFS(Data_Analyst_Intern_Nikhil_Kumar_February2026[[#This Row],[Del Days]]&lt;=7,"Fast",Data_Analyst_Intern_Nikhil_Kumar_February2026[[#This Row],[Del Days]]&lt;=15,"Standard",Data_Analyst_Intern_Nikhil_Kumar_February2026[[#This Row],[Del Days]]&gt;15,"Slow")</f>
        <v>Fast</v>
      </c>
      <c r="AB114" t="s">
        <v>34</v>
      </c>
      <c r="AC114">
        <f>IF(Data_Analyst_Intern_Nikhil_Kumar_February2026[[#This Row],[Status]]="RTO", 1,0)</f>
        <v>0</v>
      </c>
      <c r="AD114">
        <f>IF(Data_Analyst_Intern_Nikhil_Kumar_February2026[[#This Row],[Status]]="Delivered",1,0)</f>
        <v>1</v>
      </c>
      <c r="AE114" t="s">
        <v>47</v>
      </c>
      <c r="AF114">
        <f>IF(AND(Data_Analyst_Intern_Nikhil_Kumar_February2026[[#This Row],[Status]]="Delivered",Data_Analyst_Intern_Nikhil_Kumar_February2026[[#This Row],[Return?]]="Yes"),1,0)</f>
        <v>1</v>
      </c>
      <c r="AG114" t="s">
        <v>48</v>
      </c>
      <c r="AH114" s="1">
        <v>45618</v>
      </c>
      <c r="AI114" t="s">
        <v>49</v>
      </c>
    </row>
    <row r="115" spans="1:35" x14ac:dyDescent="0.3">
      <c r="A115" t="s">
        <v>546</v>
      </c>
      <c r="B115" s="1">
        <v>45593</v>
      </c>
      <c r="C115" s="1" t="str">
        <f>TEXT(Data_Analyst_Intern_Nikhil_Kumar_February2026[[#This Row],[Order Date]], "mmmm")</f>
        <v>October</v>
      </c>
      <c r="D115" s="23">
        <f>WEEKNUM(Data_Analyst_Intern_Nikhil_Kumar_February2026[[#This Row],[Order Date]],2)</f>
        <v>44</v>
      </c>
      <c r="E115" s="23" t="str">
        <f>TEXT(Data_Analyst_Intern_Nikhil_Kumar_February2026[[#This Row],[Order Date]],"dddd")</f>
        <v>Monday</v>
      </c>
      <c r="F115" s="1">
        <v>45593</v>
      </c>
      <c r="G115" s="23" t="str">
        <f>TEXT(WEEKDAY(Data_Analyst_Intern_Nikhil_Kumar_February2026[[#This Row],[Order Date]],2), "dddd")</f>
        <v>Sunday</v>
      </c>
      <c r="H115" t="s">
        <v>547</v>
      </c>
      <c r="I115" t="s">
        <v>39</v>
      </c>
      <c r="J115" t="s">
        <v>369</v>
      </c>
      <c r="K115" t="s">
        <v>72</v>
      </c>
      <c r="L115" t="s">
        <v>548</v>
      </c>
      <c r="M115" s="2">
        <v>1599</v>
      </c>
      <c r="N115">
        <v>1</v>
      </c>
      <c r="O115" s="2">
        <v>1599</v>
      </c>
      <c r="P115" t="s">
        <v>537</v>
      </c>
      <c r="Q115">
        <v>40</v>
      </c>
      <c r="R115" s="4">
        <f>IFERROR(Data_Analyst_Intern_Nikhil_Kumar_February2026[[#This Row],[Total]]/Data_Analyst_Intern_Nikhil_Kumar_February2026[[#This Row],[Discount(%)]],0)</f>
        <v>39.975000000000001</v>
      </c>
      <c r="S115" s="2">
        <f>Data_Analyst_Intern_Nikhil_Kumar_February2026[[#This Row],[Total]]-Data_Analyst_Intern_Nikhil_Kumar_February2026[[#This Row],[Discount Amount]]</f>
        <v>1559.0250000000001</v>
      </c>
      <c r="T115" t="s">
        <v>44</v>
      </c>
      <c r="U115" t="s">
        <v>31</v>
      </c>
      <c r="V115" t="s">
        <v>113</v>
      </c>
      <c r="W115" t="s">
        <v>114</v>
      </c>
      <c r="X115" t="s">
        <v>46</v>
      </c>
      <c r="Y115" s="1">
        <v>45599</v>
      </c>
      <c r="Z115" s="3">
        <f>Data_Analyst_Intern_Nikhil_Kumar_February2026[[#This Row],[Del Date]]-Data_Analyst_Intern_Nikhil_Kumar_February2026[[#This Row],[Order Date]]</f>
        <v>6</v>
      </c>
      <c r="AA115" s="3" t="str" cm="1">
        <f t="array" ref="AA115">_xlfn.IFS(Data_Analyst_Intern_Nikhil_Kumar_February2026[[#This Row],[Del Days]]&lt;=7,"Fast",Data_Analyst_Intern_Nikhil_Kumar_February2026[[#This Row],[Del Days]]&lt;=15,"Standard",Data_Analyst_Intern_Nikhil_Kumar_February2026[[#This Row],[Del Days]]&gt;15,"Slow")</f>
        <v>Fast</v>
      </c>
      <c r="AB115" t="s">
        <v>34</v>
      </c>
      <c r="AC115">
        <f>IF(Data_Analyst_Intern_Nikhil_Kumar_February2026[[#This Row],[Status]]="RTO", 1,0)</f>
        <v>0</v>
      </c>
      <c r="AD115">
        <f>IF(Data_Analyst_Intern_Nikhil_Kumar_February2026[[#This Row],[Status]]="Delivered",1,0)</f>
        <v>1</v>
      </c>
      <c r="AE115" t="s">
        <v>35</v>
      </c>
      <c r="AF115">
        <f>IF(AND(Data_Analyst_Intern_Nikhil_Kumar_February2026[[#This Row],[Status]]="Delivered",Data_Analyst_Intern_Nikhil_Kumar_February2026[[#This Row],[Return?]]="Yes"),1,0)</f>
        <v>0</v>
      </c>
      <c r="AG115" t="s">
        <v>29</v>
      </c>
      <c r="AI115" t="s">
        <v>36</v>
      </c>
    </row>
    <row r="116" spans="1:35" x14ac:dyDescent="0.3">
      <c r="A116" t="s">
        <v>549</v>
      </c>
      <c r="B116" s="1">
        <v>45593</v>
      </c>
      <c r="C116" s="1" t="str">
        <f>TEXT(Data_Analyst_Intern_Nikhil_Kumar_February2026[[#This Row],[Order Date]], "mmmm")</f>
        <v>October</v>
      </c>
      <c r="D116" s="23">
        <f>WEEKNUM(Data_Analyst_Intern_Nikhil_Kumar_February2026[[#This Row],[Order Date]],2)</f>
        <v>44</v>
      </c>
      <c r="E116" s="23" t="str">
        <f>TEXT(Data_Analyst_Intern_Nikhil_Kumar_February2026[[#This Row],[Order Date]],"dddd")</f>
        <v>Monday</v>
      </c>
      <c r="F116" s="1">
        <v>45593</v>
      </c>
      <c r="G116" s="23" t="str">
        <f>TEXT(WEEKDAY(Data_Analyst_Intern_Nikhil_Kumar_February2026[[#This Row],[Order Date]],2), "dddd")</f>
        <v>Sunday</v>
      </c>
      <c r="H116" t="s">
        <v>550</v>
      </c>
      <c r="I116" t="s">
        <v>25</v>
      </c>
      <c r="J116" t="s">
        <v>551</v>
      </c>
      <c r="K116" t="s">
        <v>54</v>
      </c>
      <c r="L116" t="s">
        <v>254</v>
      </c>
      <c r="M116" s="2">
        <v>1899</v>
      </c>
      <c r="N116">
        <v>1</v>
      </c>
      <c r="O116" s="2">
        <v>1899</v>
      </c>
      <c r="P116" t="s">
        <v>537</v>
      </c>
      <c r="Q116">
        <v>40</v>
      </c>
      <c r="R116" s="4">
        <f>IFERROR(Data_Analyst_Intern_Nikhil_Kumar_February2026[[#This Row],[Total]]/Data_Analyst_Intern_Nikhil_Kumar_February2026[[#This Row],[Discount(%)]],0)</f>
        <v>47.475000000000001</v>
      </c>
      <c r="S116" s="2">
        <f>Data_Analyst_Intern_Nikhil_Kumar_February2026[[#This Row],[Total]]-Data_Analyst_Intern_Nikhil_Kumar_February2026[[#This Row],[Discount Amount]]</f>
        <v>1851.5250000000001</v>
      </c>
      <c r="T116" t="s">
        <v>56</v>
      </c>
      <c r="U116" t="s">
        <v>45</v>
      </c>
      <c r="V116" t="s">
        <v>67</v>
      </c>
      <c r="W116" t="s">
        <v>68</v>
      </c>
      <c r="X116" t="s">
        <v>57</v>
      </c>
      <c r="Y116" s="1"/>
      <c r="Z116" s="1">
        <f>Data_Analyst_Intern_Nikhil_Kumar_February2026[[#This Row],[Del Date]]-Data_Analyst_Intern_Nikhil_Kumar_February2026[[#This Row],[Order Date]]</f>
        <v>-45593</v>
      </c>
      <c r="AA116" s="1" t="str" cm="1">
        <f t="array" ref="AA116">_xlfn.IFS(Data_Analyst_Intern_Nikhil_Kumar_February2026[[#This Row],[Del Days]]&lt;=7,"Fast",Data_Analyst_Intern_Nikhil_Kumar_February2026[[#This Row],[Del Days]]&lt;=15,"Standard",Data_Analyst_Intern_Nikhil_Kumar_February2026[[#This Row],[Del Days]]&gt;15,"Slow")</f>
        <v>Fast</v>
      </c>
      <c r="AB116" t="s">
        <v>121</v>
      </c>
      <c r="AC116">
        <f>IF(Data_Analyst_Intern_Nikhil_Kumar_February2026[[#This Row],[Status]]="RTO", 1,0)</f>
        <v>1</v>
      </c>
      <c r="AD116">
        <f>IF(Data_Analyst_Intern_Nikhil_Kumar_February2026[[#This Row],[Status]]="Delivered",1,0)</f>
        <v>0</v>
      </c>
      <c r="AE116" t="s">
        <v>35</v>
      </c>
      <c r="AF116">
        <f>IF(AND(Data_Analyst_Intern_Nikhil_Kumar_February2026[[#This Row],[Status]]="Delivered",Data_Analyst_Intern_Nikhil_Kumar_February2026[[#This Row],[Return?]]="Yes"),1,0)</f>
        <v>0</v>
      </c>
      <c r="AG116" t="s">
        <v>29</v>
      </c>
      <c r="AI116" t="s">
        <v>36</v>
      </c>
    </row>
    <row r="117" spans="1:35" x14ac:dyDescent="0.3">
      <c r="A117" t="s">
        <v>552</v>
      </c>
      <c r="B117" s="1">
        <v>45594</v>
      </c>
      <c r="C117" s="1" t="str">
        <f>TEXT(Data_Analyst_Intern_Nikhil_Kumar_February2026[[#This Row],[Order Date]], "mmmm")</f>
        <v>October</v>
      </c>
      <c r="D117" s="23">
        <f>WEEKNUM(Data_Analyst_Intern_Nikhil_Kumar_February2026[[#This Row],[Order Date]],2)</f>
        <v>44</v>
      </c>
      <c r="E117" s="23" t="str">
        <f>TEXT(Data_Analyst_Intern_Nikhil_Kumar_February2026[[#This Row],[Order Date]],"dddd")</f>
        <v>Tuesday</v>
      </c>
      <c r="F117" s="1">
        <v>45593</v>
      </c>
      <c r="G117" s="23" t="str">
        <f>TEXT(WEEKDAY(Data_Analyst_Intern_Nikhil_Kumar_February2026[[#This Row],[Order Date]],2), "dddd")</f>
        <v>Monday</v>
      </c>
      <c r="H117" t="s">
        <v>553</v>
      </c>
      <c r="I117" t="s">
        <v>25</v>
      </c>
      <c r="J117" t="s">
        <v>554</v>
      </c>
      <c r="K117" t="s">
        <v>41</v>
      </c>
      <c r="L117" t="s">
        <v>555</v>
      </c>
      <c r="M117" s="2">
        <v>4299</v>
      </c>
      <c r="N117">
        <v>1</v>
      </c>
      <c r="O117" s="2">
        <v>4299</v>
      </c>
      <c r="P117" t="s">
        <v>537</v>
      </c>
      <c r="Q117">
        <v>40</v>
      </c>
      <c r="R117" s="4">
        <f>IFERROR(Data_Analyst_Intern_Nikhil_Kumar_February2026[[#This Row],[Total]]/Data_Analyst_Intern_Nikhil_Kumar_February2026[[#This Row],[Discount(%)]],0)</f>
        <v>107.47499999999999</v>
      </c>
      <c r="S117" s="2">
        <f>Data_Analyst_Intern_Nikhil_Kumar_February2026[[#This Row],[Total]]-Data_Analyst_Intern_Nikhil_Kumar_February2026[[#This Row],[Discount Amount]]</f>
        <v>4191.5249999999996</v>
      </c>
      <c r="T117" t="s">
        <v>65</v>
      </c>
      <c r="U117" t="s">
        <v>31</v>
      </c>
      <c r="V117" t="s">
        <v>78</v>
      </c>
      <c r="W117" t="s">
        <v>79</v>
      </c>
      <c r="X117" t="s">
        <v>57</v>
      </c>
      <c r="Y117" s="1">
        <v>45601</v>
      </c>
      <c r="Z117" s="3">
        <f>Data_Analyst_Intern_Nikhil_Kumar_February2026[[#This Row],[Del Date]]-Data_Analyst_Intern_Nikhil_Kumar_February2026[[#This Row],[Order Date]]</f>
        <v>7</v>
      </c>
      <c r="AA117" s="3" t="str" cm="1">
        <f t="array" ref="AA117">_xlfn.IFS(Data_Analyst_Intern_Nikhil_Kumar_February2026[[#This Row],[Del Days]]&lt;=7,"Fast",Data_Analyst_Intern_Nikhil_Kumar_February2026[[#This Row],[Del Days]]&lt;=15,"Standard",Data_Analyst_Intern_Nikhil_Kumar_February2026[[#This Row],[Del Days]]&gt;15,"Slow")</f>
        <v>Fast</v>
      </c>
      <c r="AB117" t="s">
        <v>34</v>
      </c>
      <c r="AC117">
        <f>IF(Data_Analyst_Intern_Nikhil_Kumar_February2026[[#This Row],[Status]]="RTO", 1,0)</f>
        <v>0</v>
      </c>
      <c r="AD117">
        <f>IF(Data_Analyst_Intern_Nikhil_Kumar_February2026[[#This Row],[Status]]="Delivered",1,0)</f>
        <v>1</v>
      </c>
      <c r="AE117" t="s">
        <v>47</v>
      </c>
      <c r="AF117">
        <f>IF(AND(Data_Analyst_Intern_Nikhil_Kumar_February2026[[#This Row],[Status]]="Delivered",Data_Analyst_Intern_Nikhil_Kumar_February2026[[#This Row],[Return?]]="Yes"),1,0)</f>
        <v>1</v>
      </c>
      <c r="AG117" t="s">
        <v>69</v>
      </c>
      <c r="AH117" s="1">
        <v>45621</v>
      </c>
      <c r="AI117" t="s">
        <v>49</v>
      </c>
    </row>
    <row r="118" spans="1:35" x14ac:dyDescent="0.3">
      <c r="A118" t="s">
        <v>556</v>
      </c>
      <c r="B118" s="1">
        <v>45594</v>
      </c>
      <c r="C118" s="1" t="str">
        <f>TEXT(Data_Analyst_Intern_Nikhil_Kumar_February2026[[#This Row],[Order Date]], "mmmm")</f>
        <v>October</v>
      </c>
      <c r="D118" s="23">
        <f>WEEKNUM(Data_Analyst_Intern_Nikhil_Kumar_February2026[[#This Row],[Order Date]],2)</f>
        <v>44</v>
      </c>
      <c r="E118" s="23" t="str">
        <f>TEXT(Data_Analyst_Intern_Nikhil_Kumar_February2026[[#This Row],[Order Date]],"dddd")</f>
        <v>Tuesday</v>
      </c>
      <c r="F118" s="1">
        <v>45593</v>
      </c>
      <c r="G118" s="23" t="str">
        <f>TEXT(WEEKDAY(Data_Analyst_Intern_Nikhil_Kumar_February2026[[#This Row],[Order Date]],2), "dddd")</f>
        <v>Monday</v>
      </c>
      <c r="H118" t="s">
        <v>557</v>
      </c>
      <c r="I118" t="s">
        <v>25</v>
      </c>
      <c r="J118" t="s">
        <v>558</v>
      </c>
      <c r="K118" t="s">
        <v>27</v>
      </c>
      <c r="L118" t="s">
        <v>559</v>
      </c>
      <c r="M118" s="2">
        <v>2599</v>
      </c>
      <c r="N118">
        <v>1</v>
      </c>
      <c r="O118" s="2">
        <v>2599</v>
      </c>
      <c r="P118" t="s">
        <v>537</v>
      </c>
      <c r="Q118">
        <v>40</v>
      </c>
      <c r="R118" s="4">
        <f>IFERROR(Data_Analyst_Intern_Nikhil_Kumar_February2026[[#This Row],[Total]]/Data_Analyst_Intern_Nikhil_Kumar_February2026[[#This Row],[Discount(%)]],0)</f>
        <v>64.974999999999994</v>
      </c>
      <c r="S118" s="2">
        <f>Data_Analyst_Intern_Nikhil_Kumar_February2026[[#This Row],[Total]]-Data_Analyst_Intern_Nikhil_Kumar_February2026[[#This Row],[Discount Amount]]</f>
        <v>2534.0250000000001</v>
      </c>
      <c r="T118" t="s">
        <v>30</v>
      </c>
      <c r="U118" t="s">
        <v>66</v>
      </c>
      <c r="V118" t="s">
        <v>85</v>
      </c>
      <c r="W118" t="s">
        <v>33</v>
      </c>
      <c r="X118" t="s">
        <v>32</v>
      </c>
      <c r="Y118" s="1">
        <v>45602</v>
      </c>
      <c r="Z118" s="3">
        <f>Data_Analyst_Intern_Nikhil_Kumar_February2026[[#This Row],[Del Date]]-Data_Analyst_Intern_Nikhil_Kumar_February2026[[#This Row],[Order Date]]</f>
        <v>8</v>
      </c>
      <c r="AA118" s="3" t="str" cm="1">
        <f t="array" ref="AA118">_xlfn.IFS(Data_Analyst_Intern_Nikhil_Kumar_February2026[[#This Row],[Del Days]]&lt;=7,"Fast",Data_Analyst_Intern_Nikhil_Kumar_February2026[[#This Row],[Del Days]]&lt;=15,"Standard",Data_Analyst_Intern_Nikhil_Kumar_February2026[[#This Row],[Del Days]]&gt;15,"Slow")</f>
        <v>Standard</v>
      </c>
      <c r="AB118" t="s">
        <v>34</v>
      </c>
      <c r="AC118">
        <f>IF(Data_Analyst_Intern_Nikhil_Kumar_February2026[[#This Row],[Status]]="RTO", 1,0)</f>
        <v>0</v>
      </c>
      <c r="AD118">
        <f>IF(Data_Analyst_Intern_Nikhil_Kumar_February2026[[#This Row],[Status]]="Delivered",1,0)</f>
        <v>1</v>
      </c>
      <c r="AE118" t="s">
        <v>47</v>
      </c>
      <c r="AF118">
        <f>IF(AND(Data_Analyst_Intern_Nikhil_Kumar_February2026[[#This Row],[Status]]="Delivered",Data_Analyst_Intern_Nikhil_Kumar_February2026[[#This Row],[Return?]]="Yes"),1,0)</f>
        <v>1</v>
      </c>
      <c r="AG118" t="s">
        <v>80</v>
      </c>
      <c r="AH118" s="1">
        <v>45624</v>
      </c>
      <c r="AI118" t="s">
        <v>106</v>
      </c>
    </row>
    <row r="119" spans="1:35" x14ac:dyDescent="0.3">
      <c r="A119" t="s">
        <v>560</v>
      </c>
      <c r="B119" s="1">
        <v>45594</v>
      </c>
      <c r="C119" s="1" t="str">
        <f>TEXT(Data_Analyst_Intern_Nikhil_Kumar_February2026[[#This Row],[Order Date]], "mmmm")</f>
        <v>October</v>
      </c>
      <c r="D119" s="23">
        <f>WEEKNUM(Data_Analyst_Intern_Nikhil_Kumar_February2026[[#This Row],[Order Date]],2)</f>
        <v>44</v>
      </c>
      <c r="E119" s="23" t="str">
        <f>TEXT(Data_Analyst_Intern_Nikhil_Kumar_February2026[[#This Row],[Order Date]],"dddd")</f>
        <v>Tuesday</v>
      </c>
      <c r="F119" s="1">
        <v>45593</v>
      </c>
      <c r="G119" s="23" t="str">
        <f>TEXT(WEEKDAY(Data_Analyst_Intern_Nikhil_Kumar_February2026[[#This Row],[Order Date]],2), "dddd")</f>
        <v>Monday</v>
      </c>
      <c r="H119" t="s">
        <v>561</v>
      </c>
      <c r="I119" t="s">
        <v>25</v>
      </c>
      <c r="J119" t="s">
        <v>484</v>
      </c>
      <c r="K119" t="s">
        <v>62</v>
      </c>
      <c r="L119" t="s">
        <v>562</v>
      </c>
      <c r="M119" s="2">
        <v>3999</v>
      </c>
      <c r="N119">
        <v>1</v>
      </c>
      <c r="O119" s="2">
        <v>3999</v>
      </c>
      <c r="P119" t="s">
        <v>537</v>
      </c>
      <c r="Q119">
        <v>40</v>
      </c>
      <c r="R119" s="4">
        <f>IFERROR(Data_Analyst_Intern_Nikhil_Kumar_February2026[[#This Row],[Total]]/Data_Analyst_Intern_Nikhil_Kumar_February2026[[#This Row],[Discount(%)]],0)</f>
        <v>99.974999999999994</v>
      </c>
      <c r="S119" s="2">
        <f>Data_Analyst_Intern_Nikhil_Kumar_February2026[[#This Row],[Total]]-Data_Analyst_Intern_Nikhil_Kumar_February2026[[#This Row],[Discount Amount]]</f>
        <v>3899.0250000000001</v>
      </c>
      <c r="T119" t="s">
        <v>44</v>
      </c>
      <c r="U119" t="s">
        <v>45</v>
      </c>
      <c r="V119" t="s">
        <v>563</v>
      </c>
      <c r="W119" t="s">
        <v>120</v>
      </c>
      <c r="X119" t="s">
        <v>46</v>
      </c>
      <c r="Y119" s="1">
        <v>45603</v>
      </c>
      <c r="Z119" s="3">
        <f>Data_Analyst_Intern_Nikhil_Kumar_February2026[[#This Row],[Del Date]]-Data_Analyst_Intern_Nikhil_Kumar_February2026[[#This Row],[Order Date]]</f>
        <v>9</v>
      </c>
      <c r="AA119" s="3" t="str" cm="1">
        <f t="array" ref="AA119">_xlfn.IFS(Data_Analyst_Intern_Nikhil_Kumar_February2026[[#This Row],[Del Days]]&lt;=7,"Fast",Data_Analyst_Intern_Nikhil_Kumar_February2026[[#This Row],[Del Days]]&lt;=15,"Standard",Data_Analyst_Intern_Nikhil_Kumar_February2026[[#This Row],[Del Days]]&gt;15,"Slow")</f>
        <v>Standard</v>
      </c>
      <c r="AB119" t="s">
        <v>34</v>
      </c>
      <c r="AC119">
        <f>IF(Data_Analyst_Intern_Nikhil_Kumar_February2026[[#This Row],[Status]]="RTO", 1,0)</f>
        <v>0</v>
      </c>
      <c r="AD119">
        <f>IF(Data_Analyst_Intern_Nikhil_Kumar_February2026[[#This Row],[Status]]="Delivered",1,0)</f>
        <v>1</v>
      </c>
      <c r="AE119" t="s">
        <v>47</v>
      </c>
      <c r="AF119">
        <f>IF(AND(Data_Analyst_Intern_Nikhil_Kumar_February2026[[#This Row],[Status]]="Delivered",Data_Analyst_Intern_Nikhil_Kumar_February2026[[#This Row],[Return?]]="Yes"),1,0)</f>
        <v>1</v>
      </c>
      <c r="AG119" t="s">
        <v>48</v>
      </c>
      <c r="AH119" s="1">
        <v>45627</v>
      </c>
      <c r="AI119" t="s">
        <v>49</v>
      </c>
    </row>
    <row r="120" spans="1:35" x14ac:dyDescent="0.3">
      <c r="A120" t="s">
        <v>564</v>
      </c>
      <c r="B120" s="1">
        <v>45594</v>
      </c>
      <c r="C120" s="1" t="str">
        <f>TEXT(Data_Analyst_Intern_Nikhil_Kumar_February2026[[#This Row],[Order Date]], "mmmm")</f>
        <v>October</v>
      </c>
      <c r="D120" s="23">
        <f>WEEKNUM(Data_Analyst_Intern_Nikhil_Kumar_February2026[[#This Row],[Order Date]],2)</f>
        <v>44</v>
      </c>
      <c r="E120" s="23" t="str">
        <f>TEXT(Data_Analyst_Intern_Nikhil_Kumar_February2026[[#This Row],[Order Date]],"dddd")</f>
        <v>Tuesday</v>
      </c>
      <c r="F120" s="1">
        <v>45593</v>
      </c>
      <c r="G120" s="23" t="str">
        <f>TEXT(WEEKDAY(Data_Analyst_Intern_Nikhil_Kumar_February2026[[#This Row],[Order Date]],2), "dddd")</f>
        <v>Monday</v>
      </c>
      <c r="H120" t="s">
        <v>565</v>
      </c>
      <c r="I120" t="s">
        <v>39</v>
      </c>
      <c r="J120" t="s">
        <v>566</v>
      </c>
      <c r="K120" t="s">
        <v>41</v>
      </c>
      <c r="L120" t="s">
        <v>567</v>
      </c>
      <c r="M120" s="2">
        <v>8999</v>
      </c>
      <c r="N120">
        <v>1</v>
      </c>
      <c r="O120" s="2">
        <v>8999</v>
      </c>
      <c r="P120" t="s">
        <v>537</v>
      </c>
      <c r="Q120">
        <v>40</v>
      </c>
      <c r="R120" s="4">
        <f>IFERROR(Data_Analyst_Intern_Nikhil_Kumar_February2026[[#This Row],[Total]]/Data_Analyst_Intern_Nikhil_Kumar_February2026[[#This Row],[Discount(%)]],0)</f>
        <v>224.97499999999999</v>
      </c>
      <c r="S120" s="2">
        <f>Data_Analyst_Intern_Nikhil_Kumar_February2026[[#This Row],[Total]]-Data_Analyst_Intern_Nikhil_Kumar_February2026[[#This Row],[Discount Amount]]</f>
        <v>8774.0249999999996</v>
      </c>
      <c r="T120" t="s">
        <v>44</v>
      </c>
      <c r="U120" t="s">
        <v>31</v>
      </c>
      <c r="V120" t="s">
        <v>97</v>
      </c>
      <c r="W120" t="s">
        <v>98</v>
      </c>
      <c r="X120" t="s">
        <v>32</v>
      </c>
      <c r="Y120" s="1">
        <v>45602</v>
      </c>
      <c r="Z120" s="3">
        <f>Data_Analyst_Intern_Nikhil_Kumar_February2026[[#This Row],[Del Date]]-Data_Analyst_Intern_Nikhil_Kumar_February2026[[#This Row],[Order Date]]</f>
        <v>8</v>
      </c>
      <c r="AA120" s="3" t="str" cm="1">
        <f t="array" ref="AA120">_xlfn.IFS(Data_Analyst_Intern_Nikhil_Kumar_February2026[[#This Row],[Del Days]]&lt;=7,"Fast",Data_Analyst_Intern_Nikhil_Kumar_February2026[[#This Row],[Del Days]]&lt;=15,"Standard",Data_Analyst_Intern_Nikhil_Kumar_February2026[[#This Row],[Del Days]]&gt;15,"Slow")</f>
        <v>Standard</v>
      </c>
      <c r="AB120" t="s">
        <v>34</v>
      </c>
      <c r="AC120">
        <f>IF(Data_Analyst_Intern_Nikhil_Kumar_February2026[[#This Row],[Status]]="RTO", 1,0)</f>
        <v>0</v>
      </c>
      <c r="AD120">
        <f>IF(Data_Analyst_Intern_Nikhil_Kumar_February2026[[#This Row],[Status]]="Delivered",1,0)</f>
        <v>1</v>
      </c>
      <c r="AE120" t="s">
        <v>47</v>
      </c>
      <c r="AF120">
        <f>IF(AND(Data_Analyst_Intern_Nikhil_Kumar_February2026[[#This Row],[Status]]="Delivered",Data_Analyst_Intern_Nikhil_Kumar_February2026[[#This Row],[Return?]]="Yes"),1,0)</f>
        <v>1</v>
      </c>
      <c r="AG120" t="s">
        <v>48</v>
      </c>
      <c r="AH120" s="1">
        <v>45628</v>
      </c>
      <c r="AI120" t="s">
        <v>49</v>
      </c>
    </row>
    <row r="121" spans="1:35" x14ac:dyDescent="0.3">
      <c r="A121" t="s">
        <v>568</v>
      </c>
      <c r="B121" s="1">
        <v>45594</v>
      </c>
      <c r="C121" s="1" t="str">
        <f>TEXT(Data_Analyst_Intern_Nikhil_Kumar_February2026[[#This Row],[Order Date]], "mmmm")</f>
        <v>October</v>
      </c>
      <c r="D121" s="23">
        <f>WEEKNUM(Data_Analyst_Intern_Nikhil_Kumar_February2026[[#This Row],[Order Date]],2)</f>
        <v>44</v>
      </c>
      <c r="E121" s="23" t="str">
        <f>TEXT(Data_Analyst_Intern_Nikhil_Kumar_February2026[[#This Row],[Order Date]],"dddd")</f>
        <v>Tuesday</v>
      </c>
      <c r="F121" s="1">
        <v>45593</v>
      </c>
      <c r="G121" s="23" t="str">
        <f>TEXT(WEEKDAY(Data_Analyst_Intern_Nikhil_Kumar_February2026[[#This Row],[Order Date]],2), "dddd")</f>
        <v>Monday</v>
      </c>
      <c r="H121" t="s">
        <v>569</v>
      </c>
      <c r="I121" t="s">
        <v>25</v>
      </c>
      <c r="J121" t="s">
        <v>570</v>
      </c>
      <c r="K121" t="s">
        <v>72</v>
      </c>
      <c r="L121" t="s">
        <v>571</v>
      </c>
      <c r="M121" s="2">
        <v>1299</v>
      </c>
      <c r="N121">
        <v>2</v>
      </c>
      <c r="O121" s="2">
        <v>2598</v>
      </c>
      <c r="P121" t="s">
        <v>537</v>
      </c>
      <c r="Q121">
        <v>40</v>
      </c>
      <c r="R121" s="4">
        <f>IFERROR(Data_Analyst_Intern_Nikhil_Kumar_February2026[[#This Row],[Total]]/Data_Analyst_Intern_Nikhil_Kumar_February2026[[#This Row],[Discount(%)]],0)</f>
        <v>64.95</v>
      </c>
      <c r="S121" s="2">
        <f>Data_Analyst_Intern_Nikhil_Kumar_February2026[[#This Row],[Total]]-Data_Analyst_Intern_Nikhil_Kumar_February2026[[#This Row],[Discount Amount]]</f>
        <v>2533.0500000000002</v>
      </c>
      <c r="T121" t="s">
        <v>56</v>
      </c>
      <c r="U121" t="s">
        <v>66</v>
      </c>
      <c r="V121" t="s">
        <v>91</v>
      </c>
      <c r="W121" t="s">
        <v>92</v>
      </c>
      <c r="X121" t="s">
        <v>46</v>
      </c>
      <c r="Y121" s="1">
        <v>45604</v>
      </c>
      <c r="Z121" s="3">
        <f>Data_Analyst_Intern_Nikhil_Kumar_February2026[[#This Row],[Del Date]]-Data_Analyst_Intern_Nikhil_Kumar_February2026[[#This Row],[Order Date]]</f>
        <v>10</v>
      </c>
      <c r="AA121" s="3" t="str" cm="1">
        <f t="array" ref="AA121">_xlfn.IFS(Data_Analyst_Intern_Nikhil_Kumar_February2026[[#This Row],[Del Days]]&lt;=7,"Fast",Data_Analyst_Intern_Nikhil_Kumar_February2026[[#This Row],[Del Days]]&lt;=15,"Standard",Data_Analyst_Intern_Nikhil_Kumar_February2026[[#This Row],[Del Days]]&gt;15,"Slow")</f>
        <v>Standard</v>
      </c>
      <c r="AB121" t="s">
        <v>34</v>
      </c>
      <c r="AC121">
        <f>IF(Data_Analyst_Intern_Nikhil_Kumar_February2026[[#This Row],[Status]]="RTO", 1,0)</f>
        <v>0</v>
      </c>
      <c r="AD121">
        <f>IF(Data_Analyst_Intern_Nikhil_Kumar_February2026[[#This Row],[Status]]="Delivered",1,0)</f>
        <v>1</v>
      </c>
      <c r="AE121" t="s">
        <v>47</v>
      </c>
      <c r="AF121">
        <f>IF(AND(Data_Analyst_Intern_Nikhil_Kumar_February2026[[#This Row],[Status]]="Delivered",Data_Analyst_Intern_Nikhil_Kumar_February2026[[#This Row],[Return?]]="Yes"),1,0)</f>
        <v>1</v>
      </c>
      <c r="AG121" t="s">
        <v>139</v>
      </c>
      <c r="AH121" s="1">
        <v>45626</v>
      </c>
      <c r="AI121" t="s">
        <v>49</v>
      </c>
    </row>
    <row r="122" spans="1:35" x14ac:dyDescent="0.3">
      <c r="A122" t="s">
        <v>572</v>
      </c>
      <c r="B122" s="1">
        <v>45594</v>
      </c>
      <c r="C122" s="1" t="str">
        <f>TEXT(Data_Analyst_Intern_Nikhil_Kumar_February2026[[#This Row],[Order Date]], "mmmm")</f>
        <v>October</v>
      </c>
      <c r="D122" s="23">
        <f>WEEKNUM(Data_Analyst_Intern_Nikhil_Kumar_February2026[[#This Row],[Order Date]],2)</f>
        <v>44</v>
      </c>
      <c r="E122" s="23" t="str">
        <f>TEXT(Data_Analyst_Intern_Nikhil_Kumar_February2026[[#This Row],[Order Date]],"dddd")</f>
        <v>Tuesday</v>
      </c>
      <c r="F122" s="1">
        <v>45593</v>
      </c>
      <c r="G122" s="23" t="str">
        <f>TEXT(WEEKDAY(Data_Analyst_Intern_Nikhil_Kumar_February2026[[#This Row],[Order Date]],2), "dddd")</f>
        <v>Monday</v>
      </c>
      <c r="H122" t="s">
        <v>573</v>
      </c>
      <c r="I122" t="s">
        <v>25</v>
      </c>
      <c r="J122" t="s">
        <v>574</v>
      </c>
      <c r="K122" t="s">
        <v>27</v>
      </c>
      <c r="L122" t="s">
        <v>575</v>
      </c>
      <c r="M122" s="2">
        <v>1999</v>
      </c>
      <c r="N122">
        <v>1</v>
      </c>
      <c r="O122" s="2">
        <v>1999</v>
      </c>
      <c r="P122" t="s">
        <v>537</v>
      </c>
      <c r="Q122">
        <v>40</v>
      </c>
      <c r="R122" s="4">
        <f>IFERROR(Data_Analyst_Intern_Nikhil_Kumar_February2026[[#This Row],[Total]]/Data_Analyst_Intern_Nikhil_Kumar_February2026[[#This Row],[Discount(%)]],0)</f>
        <v>49.975000000000001</v>
      </c>
      <c r="S122" s="2">
        <f>Data_Analyst_Intern_Nikhil_Kumar_February2026[[#This Row],[Total]]-Data_Analyst_Intern_Nikhil_Kumar_February2026[[#This Row],[Discount Amount]]</f>
        <v>1949.0250000000001</v>
      </c>
      <c r="T122" t="s">
        <v>30</v>
      </c>
      <c r="U122" t="s">
        <v>45</v>
      </c>
      <c r="V122" t="s">
        <v>57</v>
      </c>
      <c r="W122" t="s">
        <v>58</v>
      </c>
      <c r="X122" t="s">
        <v>57</v>
      </c>
      <c r="Y122" s="1">
        <v>45603</v>
      </c>
      <c r="Z122" s="3">
        <f>Data_Analyst_Intern_Nikhil_Kumar_February2026[[#This Row],[Del Date]]-Data_Analyst_Intern_Nikhil_Kumar_February2026[[#This Row],[Order Date]]</f>
        <v>9</v>
      </c>
      <c r="AA122" s="3" t="str" cm="1">
        <f t="array" ref="AA122">_xlfn.IFS(Data_Analyst_Intern_Nikhil_Kumar_February2026[[#This Row],[Del Days]]&lt;=7,"Fast",Data_Analyst_Intern_Nikhil_Kumar_February2026[[#This Row],[Del Days]]&lt;=15,"Standard",Data_Analyst_Intern_Nikhil_Kumar_February2026[[#This Row],[Del Days]]&gt;15,"Slow")</f>
        <v>Standard</v>
      </c>
      <c r="AB122" t="s">
        <v>34</v>
      </c>
      <c r="AC122">
        <f>IF(Data_Analyst_Intern_Nikhil_Kumar_February2026[[#This Row],[Status]]="RTO", 1,0)</f>
        <v>0</v>
      </c>
      <c r="AD122">
        <f>IF(Data_Analyst_Intern_Nikhil_Kumar_February2026[[#This Row],[Status]]="Delivered",1,0)</f>
        <v>1</v>
      </c>
      <c r="AE122" t="s">
        <v>47</v>
      </c>
      <c r="AF122">
        <f>IF(AND(Data_Analyst_Intern_Nikhil_Kumar_February2026[[#This Row],[Status]]="Delivered",Data_Analyst_Intern_Nikhil_Kumar_February2026[[#This Row],[Return?]]="Yes"),1,0)</f>
        <v>1</v>
      </c>
      <c r="AG122" t="s">
        <v>69</v>
      </c>
      <c r="AH122" s="1">
        <v>45629</v>
      </c>
      <c r="AI122" t="s">
        <v>49</v>
      </c>
    </row>
    <row r="123" spans="1:35" x14ac:dyDescent="0.3">
      <c r="A123" t="s">
        <v>576</v>
      </c>
      <c r="B123" s="1">
        <v>45595</v>
      </c>
      <c r="C123" s="1" t="str">
        <f>TEXT(Data_Analyst_Intern_Nikhil_Kumar_February2026[[#This Row],[Order Date]], "mmmm")</f>
        <v>October</v>
      </c>
      <c r="D123" s="23">
        <f>WEEKNUM(Data_Analyst_Intern_Nikhil_Kumar_February2026[[#This Row],[Order Date]],2)</f>
        <v>44</v>
      </c>
      <c r="E123" s="23" t="str">
        <f>TEXT(Data_Analyst_Intern_Nikhil_Kumar_February2026[[#This Row],[Order Date]],"dddd")</f>
        <v>Wednesday</v>
      </c>
      <c r="F123" s="1">
        <v>45593</v>
      </c>
      <c r="G123" s="23" t="str">
        <f>TEXT(WEEKDAY(Data_Analyst_Intern_Nikhil_Kumar_February2026[[#This Row],[Order Date]],2), "dddd")</f>
        <v>Tuesday</v>
      </c>
      <c r="H123" t="s">
        <v>577</v>
      </c>
      <c r="I123" t="s">
        <v>25</v>
      </c>
      <c r="J123" t="s">
        <v>578</v>
      </c>
      <c r="K123" t="s">
        <v>54</v>
      </c>
      <c r="L123" t="s">
        <v>579</v>
      </c>
      <c r="M123" s="2">
        <v>5499</v>
      </c>
      <c r="N123">
        <v>1</v>
      </c>
      <c r="O123" s="2">
        <v>5499</v>
      </c>
      <c r="P123" t="s">
        <v>537</v>
      </c>
      <c r="Q123">
        <v>40</v>
      </c>
      <c r="R123" s="4">
        <f>IFERROR(Data_Analyst_Intern_Nikhil_Kumar_February2026[[#This Row],[Total]]/Data_Analyst_Intern_Nikhil_Kumar_February2026[[#This Row],[Discount(%)]],0)</f>
        <v>137.47499999999999</v>
      </c>
      <c r="S123" s="2">
        <f>Data_Analyst_Intern_Nikhil_Kumar_February2026[[#This Row],[Total]]-Data_Analyst_Intern_Nikhil_Kumar_February2026[[#This Row],[Discount Amount]]</f>
        <v>5361.5249999999996</v>
      </c>
      <c r="T123" t="s">
        <v>112</v>
      </c>
      <c r="U123" t="s">
        <v>31</v>
      </c>
      <c r="V123" t="s">
        <v>156</v>
      </c>
      <c r="W123" t="s">
        <v>98</v>
      </c>
      <c r="X123" t="s">
        <v>32</v>
      </c>
      <c r="Y123" s="1">
        <v>45604</v>
      </c>
      <c r="Z123" s="3">
        <f>Data_Analyst_Intern_Nikhil_Kumar_February2026[[#This Row],[Del Date]]-Data_Analyst_Intern_Nikhil_Kumar_February2026[[#This Row],[Order Date]]</f>
        <v>9</v>
      </c>
      <c r="AA123" s="3" t="str" cm="1">
        <f t="array" ref="AA123">_xlfn.IFS(Data_Analyst_Intern_Nikhil_Kumar_February2026[[#This Row],[Del Days]]&lt;=7,"Fast",Data_Analyst_Intern_Nikhil_Kumar_February2026[[#This Row],[Del Days]]&lt;=15,"Standard",Data_Analyst_Intern_Nikhil_Kumar_February2026[[#This Row],[Del Days]]&gt;15,"Slow")</f>
        <v>Standard</v>
      </c>
      <c r="AB123" t="s">
        <v>34</v>
      </c>
      <c r="AC123">
        <f>IF(Data_Analyst_Intern_Nikhil_Kumar_February2026[[#This Row],[Status]]="RTO", 1,0)</f>
        <v>0</v>
      </c>
      <c r="AD123">
        <f>IF(Data_Analyst_Intern_Nikhil_Kumar_February2026[[#This Row],[Status]]="Delivered",1,0)</f>
        <v>1</v>
      </c>
      <c r="AE123" t="s">
        <v>47</v>
      </c>
      <c r="AF123">
        <f>IF(AND(Data_Analyst_Intern_Nikhil_Kumar_February2026[[#This Row],[Status]]="Delivered",Data_Analyst_Intern_Nikhil_Kumar_February2026[[#This Row],[Return?]]="Yes"),1,0)</f>
        <v>1</v>
      </c>
      <c r="AG123" t="s">
        <v>48</v>
      </c>
      <c r="AH123" s="1">
        <v>45627</v>
      </c>
      <c r="AI123" t="s">
        <v>49</v>
      </c>
    </row>
    <row r="124" spans="1:35" x14ac:dyDescent="0.3">
      <c r="A124" t="s">
        <v>580</v>
      </c>
      <c r="B124" s="1">
        <v>45595</v>
      </c>
      <c r="C124" s="1" t="str">
        <f>TEXT(Data_Analyst_Intern_Nikhil_Kumar_February2026[[#This Row],[Order Date]], "mmmm")</f>
        <v>October</v>
      </c>
      <c r="D124" s="23">
        <f>WEEKNUM(Data_Analyst_Intern_Nikhil_Kumar_February2026[[#This Row],[Order Date]],2)</f>
        <v>44</v>
      </c>
      <c r="E124" s="23" t="str">
        <f>TEXT(Data_Analyst_Intern_Nikhil_Kumar_February2026[[#This Row],[Order Date]],"dddd")</f>
        <v>Wednesday</v>
      </c>
      <c r="F124" s="1">
        <v>45593</v>
      </c>
      <c r="G124" s="23" t="str">
        <f>TEXT(WEEKDAY(Data_Analyst_Intern_Nikhil_Kumar_February2026[[#This Row],[Order Date]],2), "dddd")</f>
        <v>Tuesday</v>
      </c>
      <c r="H124" t="s">
        <v>581</v>
      </c>
      <c r="I124" t="s">
        <v>25</v>
      </c>
      <c r="J124" t="s">
        <v>582</v>
      </c>
      <c r="K124" t="s">
        <v>41</v>
      </c>
      <c r="L124" t="s">
        <v>583</v>
      </c>
      <c r="M124" s="2">
        <v>6999</v>
      </c>
      <c r="N124">
        <v>1</v>
      </c>
      <c r="O124" s="2">
        <v>6999</v>
      </c>
      <c r="P124" t="s">
        <v>537</v>
      </c>
      <c r="Q124">
        <v>40</v>
      </c>
      <c r="R124" s="4">
        <f>IFERROR(Data_Analyst_Intern_Nikhil_Kumar_February2026[[#This Row],[Total]]/Data_Analyst_Intern_Nikhil_Kumar_February2026[[#This Row],[Discount(%)]],0)</f>
        <v>174.97499999999999</v>
      </c>
      <c r="S124" s="2">
        <f>Data_Analyst_Intern_Nikhil_Kumar_February2026[[#This Row],[Total]]-Data_Analyst_Intern_Nikhil_Kumar_February2026[[#This Row],[Discount Amount]]</f>
        <v>6824.0249999999996</v>
      </c>
      <c r="T124" t="s">
        <v>44</v>
      </c>
      <c r="U124" t="s">
        <v>66</v>
      </c>
      <c r="V124" t="s">
        <v>32</v>
      </c>
      <c r="W124" t="s">
        <v>33</v>
      </c>
      <c r="X124" t="s">
        <v>32</v>
      </c>
      <c r="Y124" s="1">
        <v>45605</v>
      </c>
      <c r="Z124" s="3">
        <f>Data_Analyst_Intern_Nikhil_Kumar_February2026[[#This Row],[Del Date]]-Data_Analyst_Intern_Nikhil_Kumar_February2026[[#This Row],[Order Date]]</f>
        <v>10</v>
      </c>
      <c r="AA124" s="3" t="str" cm="1">
        <f t="array" ref="AA124">_xlfn.IFS(Data_Analyst_Intern_Nikhil_Kumar_February2026[[#This Row],[Del Days]]&lt;=7,"Fast",Data_Analyst_Intern_Nikhil_Kumar_February2026[[#This Row],[Del Days]]&lt;=15,"Standard",Data_Analyst_Intern_Nikhil_Kumar_February2026[[#This Row],[Del Days]]&gt;15,"Slow")</f>
        <v>Standard</v>
      </c>
      <c r="AB124" t="s">
        <v>34</v>
      </c>
      <c r="AC124">
        <f>IF(Data_Analyst_Intern_Nikhil_Kumar_February2026[[#This Row],[Status]]="RTO", 1,0)</f>
        <v>0</v>
      </c>
      <c r="AD124">
        <f>IF(Data_Analyst_Intern_Nikhil_Kumar_February2026[[#This Row],[Status]]="Delivered",1,0)</f>
        <v>1</v>
      </c>
      <c r="AE124" t="s">
        <v>47</v>
      </c>
      <c r="AF124">
        <f>IF(AND(Data_Analyst_Intern_Nikhil_Kumar_February2026[[#This Row],[Status]]="Delivered",Data_Analyst_Intern_Nikhil_Kumar_February2026[[#This Row],[Return?]]="Yes"),1,0)</f>
        <v>1</v>
      </c>
      <c r="AG124" t="s">
        <v>48</v>
      </c>
      <c r="AH124" s="1">
        <v>45629</v>
      </c>
      <c r="AI124" t="s">
        <v>49</v>
      </c>
    </row>
    <row r="125" spans="1:35" x14ac:dyDescent="0.3">
      <c r="A125" t="s">
        <v>584</v>
      </c>
      <c r="B125" s="1">
        <v>45595</v>
      </c>
      <c r="C125" s="1" t="str">
        <f>TEXT(Data_Analyst_Intern_Nikhil_Kumar_February2026[[#This Row],[Order Date]], "mmmm")</f>
        <v>October</v>
      </c>
      <c r="D125" s="23">
        <f>WEEKNUM(Data_Analyst_Intern_Nikhil_Kumar_February2026[[#This Row],[Order Date]],2)</f>
        <v>44</v>
      </c>
      <c r="E125" s="23" t="str">
        <f>TEXT(Data_Analyst_Intern_Nikhil_Kumar_February2026[[#This Row],[Order Date]],"dddd")</f>
        <v>Wednesday</v>
      </c>
      <c r="F125" s="1">
        <v>45593</v>
      </c>
      <c r="G125" s="23" t="str">
        <f>TEXT(WEEKDAY(Data_Analyst_Intern_Nikhil_Kumar_February2026[[#This Row],[Order Date]],2), "dddd")</f>
        <v>Tuesday</v>
      </c>
      <c r="H125" t="s">
        <v>585</v>
      </c>
      <c r="I125" t="s">
        <v>39</v>
      </c>
      <c r="J125" t="s">
        <v>586</v>
      </c>
      <c r="K125" t="s">
        <v>62</v>
      </c>
      <c r="L125" t="s">
        <v>587</v>
      </c>
      <c r="M125" s="2">
        <v>4999</v>
      </c>
      <c r="N125">
        <v>1</v>
      </c>
      <c r="O125" s="2">
        <v>4999</v>
      </c>
      <c r="P125" t="s">
        <v>537</v>
      </c>
      <c r="Q125">
        <v>40</v>
      </c>
      <c r="R125" s="4">
        <f>IFERROR(Data_Analyst_Intern_Nikhil_Kumar_February2026[[#This Row],[Total]]/Data_Analyst_Intern_Nikhil_Kumar_February2026[[#This Row],[Discount(%)]],0)</f>
        <v>124.97499999999999</v>
      </c>
      <c r="S125" s="2">
        <f>Data_Analyst_Intern_Nikhil_Kumar_February2026[[#This Row],[Total]]-Data_Analyst_Intern_Nikhil_Kumar_February2026[[#This Row],[Discount Amount]]</f>
        <v>4874.0249999999996</v>
      </c>
      <c r="T125" t="s">
        <v>65</v>
      </c>
      <c r="U125" t="s">
        <v>45</v>
      </c>
      <c r="V125" t="s">
        <v>46</v>
      </c>
      <c r="W125" t="s">
        <v>46</v>
      </c>
      <c r="X125" t="s">
        <v>46</v>
      </c>
      <c r="Y125" s="1">
        <v>45606</v>
      </c>
      <c r="Z125" s="3">
        <f>Data_Analyst_Intern_Nikhil_Kumar_February2026[[#This Row],[Del Date]]-Data_Analyst_Intern_Nikhil_Kumar_February2026[[#This Row],[Order Date]]</f>
        <v>11</v>
      </c>
      <c r="AA125" s="3" t="str" cm="1">
        <f t="array" ref="AA125">_xlfn.IFS(Data_Analyst_Intern_Nikhil_Kumar_February2026[[#This Row],[Del Days]]&lt;=7,"Fast",Data_Analyst_Intern_Nikhil_Kumar_February2026[[#This Row],[Del Days]]&lt;=15,"Standard",Data_Analyst_Intern_Nikhil_Kumar_February2026[[#This Row],[Del Days]]&gt;15,"Slow")</f>
        <v>Standard</v>
      </c>
      <c r="AB125" t="s">
        <v>34</v>
      </c>
      <c r="AC125">
        <f>IF(Data_Analyst_Intern_Nikhil_Kumar_February2026[[#This Row],[Status]]="RTO", 1,0)</f>
        <v>0</v>
      </c>
      <c r="AD125">
        <f>IF(Data_Analyst_Intern_Nikhil_Kumar_February2026[[#This Row],[Status]]="Delivered",1,0)</f>
        <v>1</v>
      </c>
      <c r="AE125" t="s">
        <v>35</v>
      </c>
      <c r="AF125">
        <f>IF(AND(Data_Analyst_Intern_Nikhil_Kumar_February2026[[#This Row],[Status]]="Delivered",Data_Analyst_Intern_Nikhil_Kumar_February2026[[#This Row],[Return?]]="Yes"),1,0)</f>
        <v>0</v>
      </c>
      <c r="AG125" t="s">
        <v>29</v>
      </c>
      <c r="AI125" t="s">
        <v>36</v>
      </c>
    </row>
    <row r="126" spans="1:35" x14ac:dyDescent="0.3">
      <c r="A126" t="s">
        <v>588</v>
      </c>
      <c r="B126" s="1">
        <v>45595</v>
      </c>
      <c r="C126" s="1" t="str">
        <f>TEXT(Data_Analyst_Intern_Nikhil_Kumar_February2026[[#This Row],[Order Date]], "mmmm")</f>
        <v>October</v>
      </c>
      <c r="D126" s="23">
        <f>WEEKNUM(Data_Analyst_Intern_Nikhil_Kumar_February2026[[#This Row],[Order Date]],2)</f>
        <v>44</v>
      </c>
      <c r="E126" s="23" t="str">
        <f>TEXT(Data_Analyst_Intern_Nikhil_Kumar_February2026[[#This Row],[Order Date]],"dddd")</f>
        <v>Wednesday</v>
      </c>
      <c r="F126" s="1">
        <v>45593</v>
      </c>
      <c r="G126" s="23" t="str">
        <f>TEXT(WEEKDAY(Data_Analyst_Intern_Nikhil_Kumar_February2026[[#This Row],[Order Date]],2), "dddd")</f>
        <v>Tuesday</v>
      </c>
      <c r="H126" t="s">
        <v>589</v>
      </c>
      <c r="I126" t="s">
        <v>25</v>
      </c>
      <c r="J126" t="s">
        <v>590</v>
      </c>
      <c r="K126" t="s">
        <v>72</v>
      </c>
      <c r="L126" t="s">
        <v>591</v>
      </c>
      <c r="M126" s="2">
        <v>899</v>
      </c>
      <c r="N126">
        <v>1</v>
      </c>
      <c r="O126" s="2">
        <v>899</v>
      </c>
      <c r="P126" t="s">
        <v>537</v>
      </c>
      <c r="Q126">
        <v>40</v>
      </c>
      <c r="R126" s="4">
        <f>IFERROR(Data_Analyst_Intern_Nikhil_Kumar_February2026[[#This Row],[Total]]/Data_Analyst_Intern_Nikhil_Kumar_February2026[[#This Row],[Discount(%)]],0)</f>
        <v>22.475000000000001</v>
      </c>
      <c r="S126" s="2">
        <f>Data_Analyst_Intern_Nikhil_Kumar_February2026[[#This Row],[Total]]-Data_Analyst_Intern_Nikhil_Kumar_February2026[[#This Row],[Discount Amount]]</f>
        <v>876.52499999999998</v>
      </c>
      <c r="T126" t="s">
        <v>30</v>
      </c>
      <c r="U126" t="s">
        <v>31</v>
      </c>
      <c r="V126" t="s">
        <v>592</v>
      </c>
      <c r="W126" t="s">
        <v>114</v>
      </c>
      <c r="X126" t="s">
        <v>46</v>
      </c>
      <c r="Y126" s="1">
        <v>45606</v>
      </c>
      <c r="Z126" s="3">
        <f>Data_Analyst_Intern_Nikhil_Kumar_February2026[[#This Row],[Del Date]]-Data_Analyst_Intern_Nikhil_Kumar_February2026[[#This Row],[Order Date]]</f>
        <v>11</v>
      </c>
      <c r="AA126" s="3" t="str" cm="1">
        <f t="array" ref="AA126">_xlfn.IFS(Data_Analyst_Intern_Nikhil_Kumar_February2026[[#This Row],[Del Days]]&lt;=7,"Fast",Data_Analyst_Intern_Nikhil_Kumar_February2026[[#This Row],[Del Days]]&lt;=15,"Standard",Data_Analyst_Intern_Nikhil_Kumar_February2026[[#This Row],[Del Days]]&gt;15,"Slow")</f>
        <v>Standard</v>
      </c>
      <c r="AB126" t="s">
        <v>34</v>
      </c>
      <c r="AC126">
        <f>IF(Data_Analyst_Intern_Nikhil_Kumar_February2026[[#This Row],[Status]]="RTO", 1,0)</f>
        <v>0</v>
      </c>
      <c r="AD126">
        <f>IF(Data_Analyst_Intern_Nikhil_Kumar_February2026[[#This Row],[Status]]="Delivered",1,0)</f>
        <v>1</v>
      </c>
      <c r="AE126" t="s">
        <v>35</v>
      </c>
      <c r="AF126">
        <f>IF(AND(Data_Analyst_Intern_Nikhil_Kumar_February2026[[#This Row],[Status]]="Delivered",Data_Analyst_Intern_Nikhil_Kumar_February2026[[#This Row],[Return?]]="Yes"),1,0)</f>
        <v>0</v>
      </c>
      <c r="AG126" t="s">
        <v>29</v>
      </c>
      <c r="AI126" t="s">
        <v>36</v>
      </c>
    </row>
    <row r="127" spans="1:35" x14ac:dyDescent="0.3">
      <c r="A127" t="s">
        <v>593</v>
      </c>
      <c r="B127" s="1">
        <v>45595</v>
      </c>
      <c r="C127" s="1" t="str">
        <f>TEXT(Data_Analyst_Intern_Nikhil_Kumar_February2026[[#This Row],[Order Date]], "mmmm")</f>
        <v>October</v>
      </c>
      <c r="D127" s="23">
        <f>WEEKNUM(Data_Analyst_Intern_Nikhil_Kumar_February2026[[#This Row],[Order Date]],2)</f>
        <v>44</v>
      </c>
      <c r="E127" s="23" t="str">
        <f>TEXT(Data_Analyst_Intern_Nikhil_Kumar_February2026[[#This Row],[Order Date]],"dddd")</f>
        <v>Wednesday</v>
      </c>
      <c r="F127" s="1">
        <v>45593</v>
      </c>
      <c r="G127" s="23" t="str">
        <f>TEXT(WEEKDAY(Data_Analyst_Intern_Nikhil_Kumar_February2026[[#This Row],[Order Date]],2), "dddd")</f>
        <v>Tuesday</v>
      </c>
      <c r="H127" t="s">
        <v>594</v>
      </c>
      <c r="I127" t="s">
        <v>25</v>
      </c>
      <c r="J127" t="s">
        <v>595</v>
      </c>
      <c r="K127" t="s">
        <v>27</v>
      </c>
      <c r="L127" t="s">
        <v>596</v>
      </c>
      <c r="M127" s="2">
        <v>3299</v>
      </c>
      <c r="N127">
        <v>1</v>
      </c>
      <c r="O127" s="2">
        <v>3299</v>
      </c>
      <c r="P127" t="s">
        <v>537</v>
      </c>
      <c r="Q127">
        <v>40</v>
      </c>
      <c r="R127" s="4">
        <f>IFERROR(Data_Analyst_Intern_Nikhil_Kumar_February2026[[#This Row],[Total]]/Data_Analyst_Intern_Nikhil_Kumar_February2026[[#This Row],[Discount(%)]],0)</f>
        <v>82.474999999999994</v>
      </c>
      <c r="S127" s="2">
        <f>Data_Analyst_Intern_Nikhil_Kumar_February2026[[#This Row],[Total]]-Data_Analyst_Intern_Nikhil_Kumar_February2026[[#This Row],[Discount Amount]]</f>
        <v>3216.5250000000001</v>
      </c>
      <c r="T127" t="s">
        <v>56</v>
      </c>
      <c r="U127" t="s">
        <v>66</v>
      </c>
      <c r="V127" t="s">
        <v>103</v>
      </c>
      <c r="W127" t="s">
        <v>104</v>
      </c>
      <c r="X127" t="s">
        <v>46</v>
      </c>
      <c r="Y127" s="1">
        <v>45608</v>
      </c>
      <c r="Z127" s="3">
        <f>Data_Analyst_Intern_Nikhil_Kumar_February2026[[#This Row],[Del Date]]-Data_Analyst_Intern_Nikhil_Kumar_February2026[[#This Row],[Order Date]]</f>
        <v>13</v>
      </c>
      <c r="AA127" s="3" t="str" cm="1">
        <f t="array" ref="AA127">_xlfn.IFS(Data_Analyst_Intern_Nikhil_Kumar_February2026[[#This Row],[Del Days]]&lt;=7,"Fast",Data_Analyst_Intern_Nikhil_Kumar_February2026[[#This Row],[Del Days]]&lt;=15,"Standard",Data_Analyst_Intern_Nikhil_Kumar_February2026[[#This Row],[Del Days]]&gt;15,"Slow")</f>
        <v>Standard</v>
      </c>
      <c r="AB127" t="s">
        <v>34</v>
      </c>
      <c r="AC127">
        <f>IF(Data_Analyst_Intern_Nikhil_Kumar_February2026[[#This Row],[Status]]="RTO", 1,0)</f>
        <v>0</v>
      </c>
      <c r="AD127">
        <f>IF(Data_Analyst_Intern_Nikhil_Kumar_February2026[[#This Row],[Status]]="Delivered",1,0)</f>
        <v>1</v>
      </c>
      <c r="AE127" t="s">
        <v>47</v>
      </c>
      <c r="AF127">
        <f>IF(AND(Data_Analyst_Intern_Nikhil_Kumar_February2026[[#This Row],[Status]]="Delivered",Data_Analyst_Intern_Nikhil_Kumar_February2026[[#This Row],[Return?]]="Yes"),1,0)</f>
        <v>1</v>
      </c>
      <c r="AG127" t="s">
        <v>105</v>
      </c>
      <c r="AH127" s="1">
        <v>45631</v>
      </c>
      <c r="AI127" t="s">
        <v>106</v>
      </c>
    </row>
    <row r="128" spans="1:35" x14ac:dyDescent="0.3">
      <c r="A128" t="s">
        <v>597</v>
      </c>
      <c r="B128" s="1">
        <v>45596</v>
      </c>
      <c r="C128" s="1" t="str">
        <f>TEXT(Data_Analyst_Intern_Nikhil_Kumar_February2026[[#This Row],[Order Date]], "mmmm")</f>
        <v>October</v>
      </c>
      <c r="D128" s="23">
        <f>WEEKNUM(Data_Analyst_Intern_Nikhil_Kumar_February2026[[#This Row],[Order Date]],2)</f>
        <v>44</v>
      </c>
      <c r="E128" s="23" t="str">
        <f>TEXT(Data_Analyst_Intern_Nikhil_Kumar_February2026[[#This Row],[Order Date]],"dddd")</f>
        <v>Thursday</v>
      </c>
      <c r="F128" s="1">
        <v>45593</v>
      </c>
      <c r="G128" s="23" t="str">
        <f>TEXT(WEEKDAY(Data_Analyst_Intern_Nikhil_Kumar_February2026[[#This Row],[Order Date]],2), "dddd")</f>
        <v>Wednesday</v>
      </c>
      <c r="H128" t="s">
        <v>598</v>
      </c>
      <c r="I128" t="s">
        <v>25</v>
      </c>
      <c r="J128" t="s">
        <v>599</v>
      </c>
      <c r="K128" t="s">
        <v>41</v>
      </c>
      <c r="L128" t="s">
        <v>600</v>
      </c>
      <c r="M128" s="2">
        <v>7499</v>
      </c>
      <c r="N128">
        <v>1</v>
      </c>
      <c r="O128" s="2">
        <v>7499</v>
      </c>
      <c r="P128" t="s">
        <v>537</v>
      </c>
      <c r="Q128">
        <v>40</v>
      </c>
      <c r="R128" s="4">
        <f>IFERROR(Data_Analyst_Intern_Nikhil_Kumar_February2026[[#This Row],[Total]]/Data_Analyst_Intern_Nikhil_Kumar_February2026[[#This Row],[Discount(%)]],0)</f>
        <v>187.47499999999999</v>
      </c>
      <c r="S128" s="2">
        <f>Data_Analyst_Intern_Nikhil_Kumar_February2026[[#This Row],[Total]]-Data_Analyst_Intern_Nikhil_Kumar_February2026[[#This Row],[Discount Amount]]</f>
        <v>7311.5249999999996</v>
      </c>
      <c r="T128" t="s">
        <v>44</v>
      </c>
      <c r="U128" t="s">
        <v>31</v>
      </c>
      <c r="V128" t="s">
        <v>113</v>
      </c>
      <c r="W128" t="s">
        <v>114</v>
      </c>
      <c r="X128" t="s">
        <v>46</v>
      </c>
      <c r="Y128" s="1">
        <v>45607</v>
      </c>
      <c r="Z128" s="3">
        <f>Data_Analyst_Intern_Nikhil_Kumar_February2026[[#This Row],[Del Date]]-Data_Analyst_Intern_Nikhil_Kumar_February2026[[#This Row],[Order Date]]</f>
        <v>11</v>
      </c>
      <c r="AA128" s="3" t="str" cm="1">
        <f t="array" ref="AA128">_xlfn.IFS(Data_Analyst_Intern_Nikhil_Kumar_February2026[[#This Row],[Del Days]]&lt;=7,"Fast",Data_Analyst_Intern_Nikhil_Kumar_February2026[[#This Row],[Del Days]]&lt;=15,"Standard",Data_Analyst_Intern_Nikhil_Kumar_February2026[[#This Row],[Del Days]]&gt;15,"Slow")</f>
        <v>Standard</v>
      </c>
      <c r="AB128" t="s">
        <v>34</v>
      </c>
      <c r="AC128">
        <f>IF(Data_Analyst_Intern_Nikhil_Kumar_February2026[[#This Row],[Status]]="RTO", 1,0)</f>
        <v>0</v>
      </c>
      <c r="AD128">
        <f>IF(Data_Analyst_Intern_Nikhil_Kumar_February2026[[#This Row],[Status]]="Delivered",1,0)</f>
        <v>1</v>
      </c>
      <c r="AE128" t="s">
        <v>47</v>
      </c>
      <c r="AF128">
        <f>IF(AND(Data_Analyst_Intern_Nikhil_Kumar_February2026[[#This Row],[Status]]="Delivered",Data_Analyst_Intern_Nikhil_Kumar_February2026[[#This Row],[Return?]]="Yes"),1,0)</f>
        <v>1</v>
      </c>
      <c r="AG128" t="s">
        <v>48</v>
      </c>
      <c r="AH128" s="1">
        <v>45630</v>
      </c>
      <c r="AI128" t="s">
        <v>49</v>
      </c>
    </row>
    <row r="129" spans="1:35" x14ac:dyDescent="0.3">
      <c r="A129" t="s">
        <v>601</v>
      </c>
      <c r="B129" s="1">
        <v>45596</v>
      </c>
      <c r="C129" s="1" t="str">
        <f>TEXT(Data_Analyst_Intern_Nikhil_Kumar_February2026[[#This Row],[Order Date]], "mmmm")</f>
        <v>October</v>
      </c>
      <c r="D129" s="23">
        <f>WEEKNUM(Data_Analyst_Intern_Nikhil_Kumar_February2026[[#This Row],[Order Date]],2)</f>
        <v>44</v>
      </c>
      <c r="E129" s="23" t="str">
        <f>TEXT(Data_Analyst_Intern_Nikhil_Kumar_February2026[[#This Row],[Order Date]],"dddd")</f>
        <v>Thursday</v>
      </c>
      <c r="F129" s="1">
        <v>45593</v>
      </c>
      <c r="G129" s="23" t="str">
        <f>TEXT(WEEKDAY(Data_Analyst_Intern_Nikhil_Kumar_February2026[[#This Row],[Order Date]],2), "dddd")</f>
        <v>Wednesday</v>
      </c>
      <c r="H129" t="s">
        <v>602</v>
      </c>
      <c r="I129" t="s">
        <v>25</v>
      </c>
      <c r="J129" t="s">
        <v>603</v>
      </c>
      <c r="K129" t="s">
        <v>54</v>
      </c>
      <c r="L129" t="s">
        <v>604</v>
      </c>
      <c r="M129" s="2">
        <v>3299</v>
      </c>
      <c r="N129">
        <v>1</v>
      </c>
      <c r="O129" s="2">
        <v>3299</v>
      </c>
      <c r="P129" t="s">
        <v>537</v>
      </c>
      <c r="Q129">
        <v>40</v>
      </c>
      <c r="R129" s="4">
        <f>IFERROR(Data_Analyst_Intern_Nikhil_Kumar_February2026[[#This Row],[Total]]/Data_Analyst_Intern_Nikhil_Kumar_February2026[[#This Row],[Discount(%)]],0)</f>
        <v>82.474999999999994</v>
      </c>
      <c r="S129" s="2">
        <f>Data_Analyst_Intern_Nikhil_Kumar_February2026[[#This Row],[Total]]-Data_Analyst_Intern_Nikhil_Kumar_February2026[[#This Row],[Discount Amount]]</f>
        <v>3216.5250000000001</v>
      </c>
      <c r="T129" t="s">
        <v>30</v>
      </c>
      <c r="U129" t="s">
        <v>45</v>
      </c>
      <c r="V129" t="s">
        <v>119</v>
      </c>
      <c r="W129" t="s">
        <v>120</v>
      </c>
      <c r="X129" t="s">
        <v>46</v>
      </c>
      <c r="Y129" s="1">
        <v>45608</v>
      </c>
      <c r="Z129" s="3">
        <f>Data_Analyst_Intern_Nikhil_Kumar_February2026[[#This Row],[Del Date]]-Data_Analyst_Intern_Nikhil_Kumar_February2026[[#This Row],[Order Date]]</f>
        <v>12</v>
      </c>
      <c r="AA129" s="3" t="str" cm="1">
        <f t="array" ref="AA129">_xlfn.IFS(Data_Analyst_Intern_Nikhil_Kumar_February2026[[#This Row],[Del Days]]&lt;=7,"Fast",Data_Analyst_Intern_Nikhil_Kumar_February2026[[#This Row],[Del Days]]&lt;=15,"Standard",Data_Analyst_Intern_Nikhil_Kumar_February2026[[#This Row],[Del Days]]&gt;15,"Slow")</f>
        <v>Standard</v>
      </c>
      <c r="AB129" t="s">
        <v>34</v>
      </c>
      <c r="AC129">
        <f>IF(Data_Analyst_Intern_Nikhil_Kumar_February2026[[#This Row],[Status]]="RTO", 1,0)</f>
        <v>0</v>
      </c>
      <c r="AD129">
        <f>IF(Data_Analyst_Intern_Nikhil_Kumar_February2026[[#This Row],[Status]]="Delivered",1,0)</f>
        <v>1</v>
      </c>
      <c r="AE129" t="s">
        <v>47</v>
      </c>
      <c r="AF129">
        <f>IF(AND(Data_Analyst_Intern_Nikhil_Kumar_February2026[[#This Row],[Status]]="Delivered",Data_Analyst_Intern_Nikhil_Kumar_February2026[[#This Row],[Return?]]="Yes"),1,0)</f>
        <v>1</v>
      </c>
      <c r="AG129" t="s">
        <v>80</v>
      </c>
      <c r="AH129" s="1">
        <v>45632</v>
      </c>
      <c r="AI129" t="s">
        <v>49</v>
      </c>
    </row>
    <row r="130" spans="1:35" x14ac:dyDescent="0.3">
      <c r="A130" t="s">
        <v>605</v>
      </c>
      <c r="B130" s="1">
        <v>45596</v>
      </c>
      <c r="C130" s="1" t="str">
        <f>TEXT(Data_Analyst_Intern_Nikhil_Kumar_February2026[[#This Row],[Order Date]], "mmmm")</f>
        <v>October</v>
      </c>
      <c r="D130" s="23">
        <f>WEEKNUM(Data_Analyst_Intern_Nikhil_Kumar_February2026[[#This Row],[Order Date]],2)</f>
        <v>44</v>
      </c>
      <c r="E130" s="23" t="str">
        <f>TEXT(Data_Analyst_Intern_Nikhil_Kumar_February2026[[#This Row],[Order Date]],"dddd")</f>
        <v>Thursday</v>
      </c>
      <c r="F130" s="1">
        <v>45593</v>
      </c>
      <c r="G130" s="23" t="str">
        <f>TEXT(WEEKDAY(Data_Analyst_Intern_Nikhil_Kumar_February2026[[#This Row],[Order Date]],2), "dddd")</f>
        <v>Wednesday</v>
      </c>
      <c r="H130" t="s">
        <v>606</v>
      </c>
      <c r="I130" t="s">
        <v>39</v>
      </c>
      <c r="J130" t="s">
        <v>405</v>
      </c>
      <c r="K130" t="s">
        <v>62</v>
      </c>
      <c r="L130" t="s">
        <v>607</v>
      </c>
      <c r="M130" s="2">
        <v>5499</v>
      </c>
      <c r="N130">
        <v>1</v>
      </c>
      <c r="O130" s="2">
        <v>5499</v>
      </c>
      <c r="P130" t="s">
        <v>537</v>
      </c>
      <c r="Q130">
        <v>40</v>
      </c>
      <c r="R130" s="4">
        <f>IFERROR(Data_Analyst_Intern_Nikhil_Kumar_February2026[[#This Row],[Total]]/Data_Analyst_Intern_Nikhil_Kumar_February2026[[#This Row],[Discount(%)]],0)</f>
        <v>137.47499999999999</v>
      </c>
      <c r="S130" s="2">
        <f>Data_Analyst_Intern_Nikhil_Kumar_February2026[[#This Row],[Total]]-Data_Analyst_Intern_Nikhil_Kumar_February2026[[#This Row],[Discount Amount]]</f>
        <v>5361.5249999999996</v>
      </c>
      <c r="T130" t="s">
        <v>65</v>
      </c>
      <c r="U130" t="s">
        <v>66</v>
      </c>
      <c r="V130" t="s">
        <v>138</v>
      </c>
      <c r="W130" t="s">
        <v>114</v>
      </c>
      <c r="X130" t="s">
        <v>46</v>
      </c>
      <c r="Y130" s="1">
        <v>45609</v>
      </c>
      <c r="Z130" s="3">
        <f>Data_Analyst_Intern_Nikhil_Kumar_February2026[[#This Row],[Del Date]]-Data_Analyst_Intern_Nikhil_Kumar_February2026[[#This Row],[Order Date]]</f>
        <v>13</v>
      </c>
      <c r="AA130" s="3" t="str" cm="1">
        <f t="array" ref="AA130">_xlfn.IFS(Data_Analyst_Intern_Nikhil_Kumar_February2026[[#This Row],[Del Days]]&lt;=7,"Fast",Data_Analyst_Intern_Nikhil_Kumar_February2026[[#This Row],[Del Days]]&lt;=15,"Standard",Data_Analyst_Intern_Nikhil_Kumar_February2026[[#This Row],[Del Days]]&gt;15,"Slow")</f>
        <v>Standard</v>
      </c>
      <c r="AB130" t="s">
        <v>34</v>
      </c>
      <c r="AC130">
        <f>IF(Data_Analyst_Intern_Nikhil_Kumar_February2026[[#This Row],[Status]]="RTO", 1,0)</f>
        <v>0</v>
      </c>
      <c r="AD130">
        <f>IF(Data_Analyst_Intern_Nikhil_Kumar_February2026[[#This Row],[Status]]="Delivered",1,0)</f>
        <v>1</v>
      </c>
      <c r="AE130" t="s">
        <v>47</v>
      </c>
      <c r="AF130">
        <f>IF(AND(Data_Analyst_Intern_Nikhil_Kumar_February2026[[#This Row],[Status]]="Delivered",Data_Analyst_Intern_Nikhil_Kumar_February2026[[#This Row],[Return?]]="Yes"),1,0)</f>
        <v>1</v>
      </c>
      <c r="AG130" t="s">
        <v>69</v>
      </c>
      <c r="AH130" s="1">
        <v>45634</v>
      </c>
      <c r="AI130" t="s">
        <v>49</v>
      </c>
    </row>
    <row r="131" spans="1:35" x14ac:dyDescent="0.3">
      <c r="A131" t="s">
        <v>608</v>
      </c>
      <c r="B131" s="1">
        <v>45596</v>
      </c>
      <c r="C131" s="1" t="str">
        <f>TEXT(Data_Analyst_Intern_Nikhil_Kumar_February2026[[#This Row],[Order Date]], "mmmm")</f>
        <v>October</v>
      </c>
      <c r="D131" s="23">
        <f>WEEKNUM(Data_Analyst_Intern_Nikhil_Kumar_February2026[[#This Row],[Order Date]],2)</f>
        <v>44</v>
      </c>
      <c r="E131" s="23" t="str">
        <f>TEXT(Data_Analyst_Intern_Nikhil_Kumar_February2026[[#This Row],[Order Date]],"dddd")</f>
        <v>Thursday</v>
      </c>
      <c r="F131" s="1">
        <v>45593</v>
      </c>
      <c r="G131" s="23" t="str">
        <f>TEXT(WEEKDAY(Data_Analyst_Intern_Nikhil_Kumar_February2026[[#This Row],[Order Date]],2), "dddd")</f>
        <v>Wednesday</v>
      </c>
      <c r="H131" t="s">
        <v>609</v>
      </c>
      <c r="I131" t="s">
        <v>25</v>
      </c>
      <c r="J131" t="s">
        <v>610</v>
      </c>
      <c r="K131" t="s">
        <v>72</v>
      </c>
      <c r="L131" t="s">
        <v>611</v>
      </c>
      <c r="M131" s="2">
        <v>1199</v>
      </c>
      <c r="N131">
        <v>1</v>
      </c>
      <c r="O131" s="2">
        <v>1199</v>
      </c>
      <c r="P131" t="s">
        <v>537</v>
      </c>
      <c r="Q131">
        <v>40</v>
      </c>
      <c r="R131" s="4">
        <f>IFERROR(Data_Analyst_Intern_Nikhil_Kumar_February2026[[#This Row],[Total]]/Data_Analyst_Intern_Nikhil_Kumar_February2026[[#This Row],[Discount(%)]],0)</f>
        <v>29.975000000000001</v>
      </c>
      <c r="S131" s="2">
        <f>Data_Analyst_Intern_Nikhil_Kumar_February2026[[#This Row],[Total]]-Data_Analyst_Intern_Nikhil_Kumar_February2026[[#This Row],[Discount Amount]]</f>
        <v>1169.0250000000001</v>
      </c>
      <c r="T131" t="s">
        <v>56</v>
      </c>
      <c r="U131" t="s">
        <v>31</v>
      </c>
      <c r="V131" t="s">
        <v>144</v>
      </c>
      <c r="W131" t="s">
        <v>145</v>
      </c>
      <c r="X131" t="s">
        <v>46</v>
      </c>
      <c r="Y131" s="1"/>
      <c r="Z131" s="1">
        <f>Data_Analyst_Intern_Nikhil_Kumar_February2026[[#This Row],[Del Date]]-Data_Analyst_Intern_Nikhil_Kumar_February2026[[#This Row],[Order Date]]</f>
        <v>-45596</v>
      </c>
      <c r="AA131" s="1" t="str" cm="1">
        <f t="array" ref="AA131">_xlfn.IFS(Data_Analyst_Intern_Nikhil_Kumar_February2026[[#This Row],[Del Days]]&lt;=7,"Fast",Data_Analyst_Intern_Nikhil_Kumar_February2026[[#This Row],[Del Days]]&lt;=15,"Standard",Data_Analyst_Intern_Nikhil_Kumar_February2026[[#This Row],[Del Days]]&gt;15,"Slow")</f>
        <v>Fast</v>
      </c>
      <c r="AB131" t="s">
        <v>121</v>
      </c>
      <c r="AC131">
        <f>IF(Data_Analyst_Intern_Nikhil_Kumar_February2026[[#This Row],[Status]]="RTO", 1,0)</f>
        <v>1</v>
      </c>
      <c r="AD131">
        <f>IF(Data_Analyst_Intern_Nikhil_Kumar_February2026[[#This Row],[Status]]="Delivered",1,0)</f>
        <v>0</v>
      </c>
      <c r="AE131" t="s">
        <v>35</v>
      </c>
      <c r="AF131">
        <f>IF(AND(Data_Analyst_Intern_Nikhil_Kumar_February2026[[#This Row],[Status]]="Delivered",Data_Analyst_Intern_Nikhil_Kumar_February2026[[#This Row],[Return?]]="Yes"),1,0)</f>
        <v>0</v>
      </c>
      <c r="AG131" t="s">
        <v>29</v>
      </c>
      <c r="AI131" t="s">
        <v>36</v>
      </c>
    </row>
    <row r="132" spans="1:35" x14ac:dyDescent="0.3">
      <c r="A132" t="s">
        <v>612</v>
      </c>
      <c r="B132" s="1">
        <v>45596</v>
      </c>
      <c r="C132" s="1" t="str">
        <f>TEXT(Data_Analyst_Intern_Nikhil_Kumar_February2026[[#This Row],[Order Date]], "mmmm")</f>
        <v>October</v>
      </c>
      <c r="D132" s="23">
        <f>WEEKNUM(Data_Analyst_Intern_Nikhil_Kumar_February2026[[#This Row],[Order Date]],2)</f>
        <v>44</v>
      </c>
      <c r="E132" s="23" t="str">
        <f>TEXT(Data_Analyst_Intern_Nikhil_Kumar_February2026[[#This Row],[Order Date]],"dddd")</f>
        <v>Thursday</v>
      </c>
      <c r="F132" s="1">
        <v>45593</v>
      </c>
      <c r="G132" s="23" t="str">
        <f>TEXT(WEEKDAY(Data_Analyst_Intern_Nikhil_Kumar_February2026[[#This Row],[Order Date]],2), "dddd")</f>
        <v>Wednesday</v>
      </c>
      <c r="H132" t="s">
        <v>613</v>
      </c>
      <c r="I132" t="s">
        <v>25</v>
      </c>
      <c r="J132" t="s">
        <v>614</v>
      </c>
      <c r="K132" t="s">
        <v>27</v>
      </c>
      <c r="L132" t="s">
        <v>615</v>
      </c>
      <c r="M132" s="2">
        <v>2799</v>
      </c>
      <c r="N132">
        <v>1</v>
      </c>
      <c r="O132" s="2">
        <v>2799</v>
      </c>
      <c r="P132" t="s">
        <v>537</v>
      </c>
      <c r="Q132">
        <v>40</v>
      </c>
      <c r="R132" s="4">
        <f>IFERROR(Data_Analyst_Intern_Nikhil_Kumar_February2026[[#This Row],[Total]]/Data_Analyst_Intern_Nikhil_Kumar_February2026[[#This Row],[Discount(%)]],0)</f>
        <v>69.974999999999994</v>
      </c>
      <c r="S132" s="2">
        <f>Data_Analyst_Intern_Nikhil_Kumar_February2026[[#This Row],[Total]]-Data_Analyst_Intern_Nikhil_Kumar_February2026[[#This Row],[Discount Amount]]</f>
        <v>2729.0250000000001</v>
      </c>
      <c r="T132" t="s">
        <v>112</v>
      </c>
      <c r="U132" t="s">
        <v>45</v>
      </c>
      <c r="V132" t="s">
        <v>150</v>
      </c>
      <c r="W132" t="s">
        <v>151</v>
      </c>
      <c r="X132" t="s">
        <v>32</v>
      </c>
      <c r="Y132" s="1">
        <v>45608</v>
      </c>
      <c r="Z132" s="3">
        <f>Data_Analyst_Intern_Nikhil_Kumar_February2026[[#This Row],[Del Date]]-Data_Analyst_Intern_Nikhil_Kumar_February2026[[#This Row],[Order Date]]</f>
        <v>12</v>
      </c>
      <c r="AA132" s="3" t="str" cm="1">
        <f t="array" ref="AA132">_xlfn.IFS(Data_Analyst_Intern_Nikhil_Kumar_February2026[[#This Row],[Del Days]]&lt;=7,"Fast",Data_Analyst_Intern_Nikhil_Kumar_February2026[[#This Row],[Del Days]]&lt;=15,"Standard",Data_Analyst_Intern_Nikhil_Kumar_February2026[[#This Row],[Del Days]]&gt;15,"Slow")</f>
        <v>Standard</v>
      </c>
      <c r="AB132" t="s">
        <v>34</v>
      </c>
      <c r="AC132">
        <f>IF(Data_Analyst_Intern_Nikhil_Kumar_February2026[[#This Row],[Status]]="RTO", 1,0)</f>
        <v>0</v>
      </c>
      <c r="AD132">
        <f>IF(Data_Analyst_Intern_Nikhil_Kumar_February2026[[#This Row],[Status]]="Delivered",1,0)</f>
        <v>1</v>
      </c>
      <c r="AE132" t="s">
        <v>47</v>
      </c>
      <c r="AF132">
        <f>IF(AND(Data_Analyst_Intern_Nikhil_Kumar_February2026[[#This Row],[Status]]="Delivered",Data_Analyst_Intern_Nikhil_Kumar_February2026[[#This Row],[Return?]]="Yes"),1,0)</f>
        <v>1</v>
      </c>
      <c r="AG132" t="s">
        <v>48</v>
      </c>
      <c r="AH132" s="1">
        <v>45633</v>
      </c>
      <c r="AI132" t="s">
        <v>49</v>
      </c>
    </row>
    <row r="133" spans="1:35" x14ac:dyDescent="0.3">
      <c r="A133" t="s">
        <v>616</v>
      </c>
      <c r="B133" s="1">
        <v>45597</v>
      </c>
      <c r="C133" s="1" t="str">
        <f>TEXT(Data_Analyst_Intern_Nikhil_Kumar_February2026[[#This Row],[Order Date]], "mmmm")</f>
        <v>November</v>
      </c>
      <c r="D133" s="23">
        <f>WEEKNUM(Data_Analyst_Intern_Nikhil_Kumar_February2026[[#This Row],[Order Date]],2)</f>
        <v>44</v>
      </c>
      <c r="E133" s="23" t="str">
        <f>TEXT(Data_Analyst_Intern_Nikhil_Kumar_February2026[[#This Row],[Order Date]],"dddd")</f>
        <v>Friday</v>
      </c>
      <c r="F133" s="1">
        <v>45593</v>
      </c>
      <c r="G133" s="23" t="str">
        <f>TEXT(WEEKDAY(Data_Analyst_Intern_Nikhil_Kumar_February2026[[#This Row],[Order Date]],2), "dddd")</f>
        <v>Thursday</v>
      </c>
      <c r="H133" t="s">
        <v>617</v>
      </c>
      <c r="I133" t="s">
        <v>25</v>
      </c>
      <c r="J133" t="s">
        <v>618</v>
      </c>
      <c r="K133" t="s">
        <v>41</v>
      </c>
      <c r="L133" t="s">
        <v>619</v>
      </c>
      <c r="M133" s="2">
        <v>3899</v>
      </c>
      <c r="N133">
        <v>1</v>
      </c>
      <c r="O133" s="2">
        <v>3899</v>
      </c>
      <c r="P133" t="s">
        <v>537</v>
      </c>
      <c r="Q133">
        <v>40</v>
      </c>
      <c r="R133" s="4">
        <f>IFERROR(Data_Analyst_Intern_Nikhil_Kumar_February2026[[#This Row],[Total]]/Data_Analyst_Intern_Nikhil_Kumar_February2026[[#This Row],[Discount(%)]],0)</f>
        <v>97.474999999999994</v>
      </c>
      <c r="S133" s="2">
        <f>Data_Analyst_Intern_Nikhil_Kumar_February2026[[#This Row],[Total]]-Data_Analyst_Intern_Nikhil_Kumar_February2026[[#This Row],[Discount Amount]]</f>
        <v>3801.5250000000001</v>
      </c>
      <c r="T133" t="s">
        <v>44</v>
      </c>
      <c r="U133" t="s">
        <v>66</v>
      </c>
      <c r="V133" t="s">
        <v>156</v>
      </c>
      <c r="W133" t="s">
        <v>98</v>
      </c>
      <c r="X133" t="s">
        <v>32</v>
      </c>
      <c r="Y133" s="1">
        <v>45606</v>
      </c>
      <c r="Z133" s="3">
        <f>Data_Analyst_Intern_Nikhil_Kumar_February2026[[#This Row],[Del Date]]-Data_Analyst_Intern_Nikhil_Kumar_February2026[[#This Row],[Order Date]]</f>
        <v>9</v>
      </c>
      <c r="AA133" s="3" t="str" cm="1">
        <f t="array" ref="AA133">_xlfn.IFS(Data_Analyst_Intern_Nikhil_Kumar_February2026[[#This Row],[Del Days]]&lt;=7,"Fast",Data_Analyst_Intern_Nikhil_Kumar_February2026[[#This Row],[Del Days]]&lt;=15,"Standard",Data_Analyst_Intern_Nikhil_Kumar_February2026[[#This Row],[Del Days]]&gt;15,"Slow")</f>
        <v>Standard</v>
      </c>
      <c r="AB133" t="s">
        <v>34</v>
      </c>
      <c r="AC133">
        <f>IF(Data_Analyst_Intern_Nikhil_Kumar_February2026[[#This Row],[Status]]="RTO", 1,0)</f>
        <v>0</v>
      </c>
      <c r="AD133">
        <f>IF(Data_Analyst_Intern_Nikhil_Kumar_February2026[[#This Row],[Status]]="Delivered",1,0)</f>
        <v>1</v>
      </c>
      <c r="AE133" t="s">
        <v>47</v>
      </c>
      <c r="AF133">
        <f>IF(AND(Data_Analyst_Intern_Nikhil_Kumar_February2026[[#This Row],[Status]]="Delivered",Data_Analyst_Intern_Nikhil_Kumar_February2026[[#This Row],[Return?]]="Yes"),1,0)</f>
        <v>1</v>
      </c>
      <c r="AG133" t="s">
        <v>105</v>
      </c>
      <c r="AH133" s="1">
        <v>45631</v>
      </c>
      <c r="AI133" t="s">
        <v>49</v>
      </c>
    </row>
    <row r="134" spans="1:35" x14ac:dyDescent="0.3">
      <c r="A134" t="s">
        <v>620</v>
      </c>
      <c r="B134" s="1">
        <v>45597</v>
      </c>
      <c r="C134" s="1" t="str">
        <f>TEXT(Data_Analyst_Intern_Nikhil_Kumar_February2026[[#This Row],[Order Date]], "mmmm")</f>
        <v>November</v>
      </c>
      <c r="D134" s="23">
        <f>WEEKNUM(Data_Analyst_Intern_Nikhil_Kumar_February2026[[#This Row],[Order Date]],2)</f>
        <v>44</v>
      </c>
      <c r="E134" s="23" t="str">
        <f>TEXT(Data_Analyst_Intern_Nikhil_Kumar_February2026[[#This Row],[Order Date]],"dddd")</f>
        <v>Friday</v>
      </c>
      <c r="F134" s="1">
        <v>45593</v>
      </c>
      <c r="G134" s="23" t="str">
        <f>TEXT(WEEKDAY(Data_Analyst_Intern_Nikhil_Kumar_February2026[[#This Row],[Order Date]],2), "dddd")</f>
        <v>Thursday</v>
      </c>
      <c r="H134" t="s">
        <v>621</v>
      </c>
      <c r="I134" t="s">
        <v>25</v>
      </c>
      <c r="J134" t="s">
        <v>622</v>
      </c>
      <c r="K134" t="s">
        <v>54</v>
      </c>
      <c r="L134" t="s">
        <v>623</v>
      </c>
      <c r="M134" s="2">
        <v>2999</v>
      </c>
      <c r="N134">
        <v>1</v>
      </c>
      <c r="O134" s="2">
        <v>2999</v>
      </c>
      <c r="P134" t="s">
        <v>537</v>
      </c>
      <c r="Q134">
        <v>40</v>
      </c>
      <c r="R134" s="4">
        <f>IFERROR(Data_Analyst_Intern_Nikhil_Kumar_February2026[[#This Row],[Total]]/Data_Analyst_Intern_Nikhil_Kumar_February2026[[#This Row],[Discount(%)]],0)</f>
        <v>74.974999999999994</v>
      </c>
      <c r="S134" s="2">
        <f>Data_Analyst_Intern_Nikhil_Kumar_February2026[[#This Row],[Total]]-Data_Analyst_Intern_Nikhil_Kumar_February2026[[#This Row],[Discount Amount]]</f>
        <v>2924.0250000000001</v>
      </c>
      <c r="T134" t="s">
        <v>30</v>
      </c>
      <c r="U134" t="s">
        <v>31</v>
      </c>
      <c r="V134" t="s">
        <v>161</v>
      </c>
      <c r="W134" t="s">
        <v>162</v>
      </c>
      <c r="X134" t="s">
        <v>46</v>
      </c>
      <c r="Y134" s="1">
        <v>45607</v>
      </c>
      <c r="Z134" s="3">
        <f>Data_Analyst_Intern_Nikhil_Kumar_February2026[[#This Row],[Del Date]]-Data_Analyst_Intern_Nikhil_Kumar_February2026[[#This Row],[Order Date]]</f>
        <v>10</v>
      </c>
      <c r="AA134" s="3" t="str" cm="1">
        <f t="array" ref="AA134">_xlfn.IFS(Data_Analyst_Intern_Nikhil_Kumar_February2026[[#This Row],[Del Days]]&lt;=7,"Fast",Data_Analyst_Intern_Nikhil_Kumar_February2026[[#This Row],[Del Days]]&lt;=15,"Standard",Data_Analyst_Intern_Nikhil_Kumar_February2026[[#This Row],[Del Days]]&gt;15,"Slow")</f>
        <v>Standard</v>
      </c>
      <c r="AB134" t="s">
        <v>34</v>
      </c>
      <c r="AC134">
        <f>IF(Data_Analyst_Intern_Nikhil_Kumar_February2026[[#This Row],[Status]]="RTO", 1,0)</f>
        <v>0</v>
      </c>
      <c r="AD134">
        <f>IF(Data_Analyst_Intern_Nikhil_Kumar_February2026[[#This Row],[Status]]="Delivered",1,0)</f>
        <v>1</v>
      </c>
      <c r="AE134" t="s">
        <v>35</v>
      </c>
      <c r="AF134">
        <f>IF(AND(Data_Analyst_Intern_Nikhil_Kumar_February2026[[#This Row],[Status]]="Delivered",Data_Analyst_Intern_Nikhil_Kumar_February2026[[#This Row],[Return?]]="Yes"),1,0)</f>
        <v>0</v>
      </c>
      <c r="AG134" t="s">
        <v>29</v>
      </c>
      <c r="AI134" t="s">
        <v>36</v>
      </c>
    </row>
    <row r="135" spans="1:35" x14ac:dyDescent="0.3">
      <c r="A135" t="s">
        <v>624</v>
      </c>
      <c r="B135" s="1">
        <v>45597</v>
      </c>
      <c r="C135" s="1" t="str">
        <f>TEXT(Data_Analyst_Intern_Nikhil_Kumar_February2026[[#This Row],[Order Date]], "mmmm")</f>
        <v>November</v>
      </c>
      <c r="D135" s="23">
        <f>WEEKNUM(Data_Analyst_Intern_Nikhil_Kumar_February2026[[#This Row],[Order Date]],2)</f>
        <v>44</v>
      </c>
      <c r="E135" s="23" t="str">
        <f>TEXT(Data_Analyst_Intern_Nikhil_Kumar_February2026[[#This Row],[Order Date]],"dddd")</f>
        <v>Friday</v>
      </c>
      <c r="F135" s="1">
        <v>45593</v>
      </c>
      <c r="G135" s="23" t="str">
        <f>TEXT(WEEKDAY(Data_Analyst_Intern_Nikhil_Kumar_February2026[[#This Row],[Order Date]],2), "dddd")</f>
        <v>Thursday</v>
      </c>
      <c r="H135" t="s">
        <v>625</v>
      </c>
      <c r="I135" t="s">
        <v>39</v>
      </c>
      <c r="J135" t="s">
        <v>626</v>
      </c>
      <c r="K135" t="s">
        <v>62</v>
      </c>
      <c r="L135" t="s">
        <v>627</v>
      </c>
      <c r="M135" s="2">
        <v>6499</v>
      </c>
      <c r="N135">
        <v>1</v>
      </c>
      <c r="O135" s="2">
        <v>6499</v>
      </c>
      <c r="P135" t="s">
        <v>537</v>
      </c>
      <c r="Q135">
        <v>40</v>
      </c>
      <c r="R135" s="4">
        <f>IFERROR(Data_Analyst_Intern_Nikhil_Kumar_February2026[[#This Row],[Total]]/Data_Analyst_Intern_Nikhil_Kumar_February2026[[#This Row],[Discount(%)]],0)</f>
        <v>162.47499999999999</v>
      </c>
      <c r="S135" s="2">
        <f>Data_Analyst_Intern_Nikhil_Kumar_February2026[[#This Row],[Total]]-Data_Analyst_Intern_Nikhil_Kumar_February2026[[#This Row],[Discount Amount]]</f>
        <v>6336.5249999999996</v>
      </c>
      <c r="T135" t="s">
        <v>44</v>
      </c>
      <c r="U135" t="s">
        <v>45</v>
      </c>
      <c r="V135" t="s">
        <v>167</v>
      </c>
      <c r="W135" t="s">
        <v>151</v>
      </c>
      <c r="X135" t="s">
        <v>32</v>
      </c>
      <c r="Y135" s="1">
        <v>45609</v>
      </c>
      <c r="Z135" s="3">
        <f>Data_Analyst_Intern_Nikhil_Kumar_February2026[[#This Row],[Del Date]]-Data_Analyst_Intern_Nikhil_Kumar_February2026[[#This Row],[Order Date]]</f>
        <v>12</v>
      </c>
      <c r="AA135" s="3" t="str" cm="1">
        <f t="array" ref="AA135">_xlfn.IFS(Data_Analyst_Intern_Nikhil_Kumar_February2026[[#This Row],[Del Days]]&lt;=7,"Fast",Data_Analyst_Intern_Nikhil_Kumar_February2026[[#This Row],[Del Days]]&lt;=15,"Standard",Data_Analyst_Intern_Nikhil_Kumar_February2026[[#This Row],[Del Days]]&gt;15,"Slow")</f>
        <v>Standard</v>
      </c>
      <c r="AB135" t="s">
        <v>34</v>
      </c>
      <c r="AC135">
        <f>IF(Data_Analyst_Intern_Nikhil_Kumar_February2026[[#This Row],[Status]]="RTO", 1,0)</f>
        <v>0</v>
      </c>
      <c r="AD135">
        <f>IF(Data_Analyst_Intern_Nikhil_Kumar_February2026[[#This Row],[Status]]="Delivered",1,0)</f>
        <v>1</v>
      </c>
      <c r="AE135" t="s">
        <v>47</v>
      </c>
      <c r="AF135">
        <f>IF(AND(Data_Analyst_Intern_Nikhil_Kumar_February2026[[#This Row],[Status]]="Delivered",Data_Analyst_Intern_Nikhil_Kumar_February2026[[#This Row],[Return?]]="Yes"),1,0)</f>
        <v>1</v>
      </c>
      <c r="AG135" t="s">
        <v>48</v>
      </c>
      <c r="AH135" s="1">
        <v>45636</v>
      </c>
      <c r="AI135" t="s">
        <v>49</v>
      </c>
    </row>
    <row r="136" spans="1:35" x14ac:dyDescent="0.3">
      <c r="A136" t="s">
        <v>628</v>
      </c>
      <c r="B136" s="1">
        <v>45597</v>
      </c>
      <c r="C136" s="1" t="str">
        <f>TEXT(Data_Analyst_Intern_Nikhil_Kumar_February2026[[#This Row],[Order Date]], "mmmm")</f>
        <v>November</v>
      </c>
      <c r="D136" s="23">
        <f>WEEKNUM(Data_Analyst_Intern_Nikhil_Kumar_February2026[[#This Row],[Order Date]],2)</f>
        <v>44</v>
      </c>
      <c r="E136" s="23" t="str">
        <f>TEXT(Data_Analyst_Intern_Nikhil_Kumar_February2026[[#This Row],[Order Date]],"dddd")</f>
        <v>Friday</v>
      </c>
      <c r="F136" s="1">
        <v>45593</v>
      </c>
      <c r="G136" s="23" t="str">
        <f>TEXT(WEEKDAY(Data_Analyst_Intern_Nikhil_Kumar_February2026[[#This Row],[Order Date]],2), "dddd")</f>
        <v>Thursday</v>
      </c>
      <c r="H136" t="s">
        <v>629</v>
      </c>
      <c r="I136" t="s">
        <v>25</v>
      </c>
      <c r="J136" t="s">
        <v>630</v>
      </c>
      <c r="K136" t="s">
        <v>72</v>
      </c>
      <c r="L136" t="s">
        <v>631</v>
      </c>
      <c r="M136" s="2">
        <v>999</v>
      </c>
      <c r="N136">
        <v>2</v>
      </c>
      <c r="O136" s="2">
        <v>1998</v>
      </c>
      <c r="P136" t="s">
        <v>537</v>
      </c>
      <c r="Q136">
        <v>40</v>
      </c>
      <c r="R136" s="4">
        <f>IFERROR(Data_Analyst_Intern_Nikhil_Kumar_February2026[[#This Row],[Total]]/Data_Analyst_Intern_Nikhil_Kumar_February2026[[#This Row],[Discount(%)]],0)</f>
        <v>49.95</v>
      </c>
      <c r="S136" s="2">
        <f>Data_Analyst_Intern_Nikhil_Kumar_February2026[[#This Row],[Total]]-Data_Analyst_Intern_Nikhil_Kumar_February2026[[#This Row],[Discount Amount]]</f>
        <v>1948.05</v>
      </c>
      <c r="T136" t="s">
        <v>65</v>
      </c>
      <c r="U136" t="s">
        <v>66</v>
      </c>
      <c r="V136" t="s">
        <v>172</v>
      </c>
      <c r="W136" t="s">
        <v>33</v>
      </c>
      <c r="X136" t="s">
        <v>32</v>
      </c>
      <c r="Y136" s="1">
        <v>45607</v>
      </c>
      <c r="Z136" s="3">
        <f>Data_Analyst_Intern_Nikhil_Kumar_February2026[[#This Row],[Del Date]]-Data_Analyst_Intern_Nikhil_Kumar_February2026[[#This Row],[Order Date]]</f>
        <v>10</v>
      </c>
      <c r="AA136" s="3" t="str" cm="1">
        <f t="array" ref="AA136">_xlfn.IFS(Data_Analyst_Intern_Nikhil_Kumar_February2026[[#This Row],[Del Days]]&lt;=7,"Fast",Data_Analyst_Intern_Nikhil_Kumar_February2026[[#This Row],[Del Days]]&lt;=15,"Standard",Data_Analyst_Intern_Nikhil_Kumar_February2026[[#This Row],[Del Days]]&gt;15,"Slow")</f>
        <v>Standard</v>
      </c>
      <c r="AB136" t="s">
        <v>34</v>
      </c>
      <c r="AC136">
        <f>IF(Data_Analyst_Intern_Nikhil_Kumar_February2026[[#This Row],[Status]]="RTO", 1,0)</f>
        <v>0</v>
      </c>
      <c r="AD136">
        <f>IF(Data_Analyst_Intern_Nikhil_Kumar_February2026[[#This Row],[Status]]="Delivered",1,0)</f>
        <v>1</v>
      </c>
      <c r="AE136" t="s">
        <v>35</v>
      </c>
      <c r="AF136">
        <f>IF(AND(Data_Analyst_Intern_Nikhil_Kumar_February2026[[#This Row],[Status]]="Delivered",Data_Analyst_Intern_Nikhil_Kumar_February2026[[#This Row],[Return?]]="Yes"),1,0)</f>
        <v>0</v>
      </c>
      <c r="AG136" t="s">
        <v>29</v>
      </c>
      <c r="AI136" t="s">
        <v>36</v>
      </c>
    </row>
    <row r="137" spans="1:35" x14ac:dyDescent="0.3">
      <c r="A137" t="s">
        <v>632</v>
      </c>
      <c r="B137" s="1">
        <v>45598</v>
      </c>
      <c r="C137" s="1" t="str">
        <f>TEXT(Data_Analyst_Intern_Nikhil_Kumar_February2026[[#This Row],[Order Date]], "mmmm")</f>
        <v>November</v>
      </c>
      <c r="D137" s="23">
        <f>WEEKNUM(Data_Analyst_Intern_Nikhil_Kumar_February2026[[#This Row],[Order Date]],2)</f>
        <v>44</v>
      </c>
      <c r="E137" s="23" t="str">
        <f>TEXT(Data_Analyst_Intern_Nikhil_Kumar_February2026[[#This Row],[Order Date]],"dddd")</f>
        <v>Saturday</v>
      </c>
      <c r="F137" s="1">
        <v>45593</v>
      </c>
      <c r="G137" s="23" t="str">
        <f>TEXT(WEEKDAY(Data_Analyst_Intern_Nikhil_Kumar_February2026[[#This Row],[Order Date]],2), "dddd")</f>
        <v>Friday</v>
      </c>
      <c r="H137" t="s">
        <v>633</v>
      </c>
      <c r="I137" t="s">
        <v>25</v>
      </c>
      <c r="J137" t="s">
        <v>634</v>
      </c>
      <c r="K137" t="s">
        <v>27</v>
      </c>
      <c r="L137" t="s">
        <v>635</v>
      </c>
      <c r="M137" s="2">
        <v>2499</v>
      </c>
      <c r="N137">
        <v>1</v>
      </c>
      <c r="O137" s="2">
        <v>2499</v>
      </c>
      <c r="P137" t="s">
        <v>537</v>
      </c>
      <c r="Q137">
        <v>40</v>
      </c>
      <c r="R137" s="4">
        <f>IFERROR(Data_Analyst_Intern_Nikhil_Kumar_February2026[[#This Row],[Total]]/Data_Analyst_Intern_Nikhil_Kumar_February2026[[#This Row],[Discount(%)]],0)</f>
        <v>62.475000000000001</v>
      </c>
      <c r="S137" s="2">
        <f>Data_Analyst_Intern_Nikhil_Kumar_February2026[[#This Row],[Total]]-Data_Analyst_Intern_Nikhil_Kumar_February2026[[#This Row],[Discount Amount]]</f>
        <v>2436.5250000000001</v>
      </c>
      <c r="T137" t="s">
        <v>56</v>
      </c>
      <c r="U137" t="s">
        <v>31</v>
      </c>
      <c r="V137" t="s">
        <v>177</v>
      </c>
      <c r="W137" t="s">
        <v>68</v>
      </c>
      <c r="X137" t="s">
        <v>57</v>
      </c>
      <c r="Y137" s="1">
        <v>45608</v>
      </c>
      <c r="Z137" s="3">
        <f>Data_Analyst_Intern_Nikhil_Kumar_February2026[[#This Row],[Del Date]]-Data_Analyst_Intern_Nikhil_Kumar_February2026[[#This Row],[Order Date]]</f>
        <v>10</v>
      </c>
      <c r="AA137" s="3" t="str" cm="1">
        <f t="array" ref="AA137">_xlfn.IFS(Data_Analyst_Intern_Nikhil_Kumar_February2026[[#This Row],[Del Days]]&lt;=7,"Fast",Data_Analyst_Intern_Nikhil_Kumar_February2026[[#This Row],[Del Days]]&lt;=15,"Standard",Data_Analyst_Intern_Nikhil_Kumar_February2026[[#This Row],[Del Days]]&gt;15,"Slow")</f>
        <v>Standard</v>
      </c>
      <c r="AB137" t="s">
        <v>34</v>
      </c>
      <c r="AC137">
        <f>IF(Data_Analyst_Intern_Nikhil_Kumar_February2026[[#This Row],[Status]]="RTO", 1,0)</f>
        <v>0</v>
      </c>
      <c r="AD137">
        <f>IF(Data_Analyst_Intern_Nikhil_Kumar_February2026[[#This Row],[Status]]="Delivered",1,0)</f>
        <v>1</v>
      </c>
      <c r="AE137" t="s">
        <v>47</v>
      </c>
      <c r="AF137">
        <f>IF(AND(Data_Analyst_Intern_Nikhil_Kumar_February2026[[#This Row],[Status]]="Delivered",Data_Analyst_Intern_Nikhil_Kumar_February2026[[#This Row],[Return?]]="Yes"),1,0)</f>
        <v>1</v>
      </c>
      <c r="AG137" t="s">
        <v>69</v>
      </c>
      <c r="AH137" s="1">
        <v>45634</v>
      </c>
      <c r="AI137" t="s">
        <v>49</v>
      </c>
    </row>
    <row r="138" spans="1:35" x14ac:dyDescent="0.3">
      <c r="A138" t="s">
        <v>636</v>
      </c>
      <c r="B138" s="1">
        <v>45598</v>
      </c>
      <c r="C138" s="1" t="str">
        <f>TEXT(Data_Analyst_Intern_Nikhil_Kumar_February2026[[#This Row],[Order Date]], "mmmm")</f>
        <v>November</v>
      </c>
      <c r="D138" s="23">
        <f>WEEKNUM(Data_Analyst_Intern_Nikhil_Kumar_February2026[[#This Row],[Order Date]],2)</f>
        <v>44</v>
      </c>
      <c r="E138" s="23" t="str">
        <f>TEXT(Data_Analyst_Intern_Nikhil_Kumar_February2026[[#This Row],[Order Date]],"dddd")</f>
        <v>Saturday</v>
      </c>
      <c r="F138" s="1">
        <v>45593</v>
      </c>
      <c r="G138" s="23" t="str">
        <f>TEXT(WEEKDAY(Data_Analyst_Intern_Nikhil_Kumar_February2026[[#This Row],[Order Date]],2), "dddd")</f>
        <v>Friday</v>
      </c>
      <c r="H138" t="s">
        <v>637</v>
      </c>
      <c r="I138" t="s">
        <v>25</v>
      </c>
      <c r="J138" t="s">
        <v>638</v>
      </c>
      <c r="K138" t="s">
        <v>41</v>
      </c>
      <c r="L138" t="s">
        <v>639</v>
      </c>
      <c r="M138" s="2">
        <v>4599</v>
      </c>
      <c r="N138">
        <v>1</v>
      </c>
      <c r="O138" s="2">
        <v>4599</v>
      </c>
      <c r="P138" t="s">
        <v>537</v>
      </c>
      <c r="Q138">
        <v>40</v>
      </c>
      <c r="R138" s="4">
        <f>IFERROR(Data_Analyst_Intern_Nikhil_Kumar_February2026[[#This Row],[Total]]/Data_Analyst_Intern_Nikhil_Kumar_February2026[[#This Row],[Discount(%)]],0)</f>
        <v>114.97499999999999</v>
      </c>
      <c r="S138" s="2">
        <f>Data_Analyst_Intern_Nikhil_Kumar_February2026[[#This Row],[Total]]-Data_Analyst_Intern_Nikhil_Kumar_February2026[[#This Row],[Discount Amount]]</f>
        <v>4484.0249999999996</v>
      </c>
      <c r="T138" t="s">
        <v>30</v>
      </c>
      <c r="U138" t="s">
        <v>45</v>
      </c>
      <c r="V138" t="s">
        <v>182</v>
      </c>
      <c r="W138" t="s">
        <v>183</v>
      </c>
      <c r="X138" t="s">
        <v>57</v>
      </c>
      <c r="Y138" s="1">
        <v>45610</v>
      </c>
      <c r="Z138" s="3">
        <f>Data_Analyst_Intern_Nikhil_Kumar_February2026[[#This Row],[Del Date]]-Data_Analyst_Intern_Nikhil_Kumar_February2026[[#This Row],[Order Date]]</f>
        <v>12</v>
      </c>
      <c r="AA138" s="3" t="str" cm="1">
        <f t="array" ref="AA138">_xlfn.IFS(Data_Analyst_Intern_Nikhil_Kumar_February2026[[#This Row],[Del Days]]&lt;=7,"Fast",Data_Analyst_Intern_Nikhil_Kumar_February2026[[#This Row],[Del Days]]&lt;=15,"Standard",Data_Analyst_Intern_Nikhil_Kumar_February2026[[#This Row],[Del Days]]&gt;15,"Slow")</f>
        <v>Standard</v>
      </c>
      <c r="AB138" t="s">
        <v>34</v>
      </c>
      <c r="AC138">
        <f>IF(Data_Analyst_Intern_Nikhil_Kumar_February2026[[#This Row],[Status]]="RTO", 1,0)</f>
        <v>0</v>
      </c>
      <c r="AD138">
        <f>IF(Data_Analyst_Intern_Nikhil_Kumar_February2026[[#This Row],[Status]]="Delivered",1,0)</f>
        <v>1</v>
      </c>
      <c r="AE138" t="s">
        <v>47</v>
      </c>
      <c r="AF138">
        <f>IF(AND(Data_Analyst_Intern_Nikhil_Kumar_February2026[[#This Row],[Status]]="Delivered",Data_Analyst_Intern_Nikhil_Kumar_February2026[[#This Row],[Return?]]="Yes"),1,0)</f>
        <v>1</v>
      </c>
      <c r="AG138" t="s">
        <v>48</v>
      </c>
      <c r="AH138" s="1">
        <v>45638</v>
      </c>
      <c r="AI138" t="s">
        <v>49</v>
      </c>
    </row>
    <row r="139" spans="1:35" x14ac:dyDescent="0.3">
      <c r="A139" t="s">
        <v>640</v>
      </c>
      <c r="B139" s="1">
        <v>45598</v>
      </c>
      <c r="C139" s="1" t="str">
        <f>TEXT(Data_Analyst_Intern_Nikhil_Kumar_February2026[[#This Row],[Order Date]], "mmmm")</f>
        <v>November</v>
      </c>
      <c r="D139" s="23">
        <f>WEEKNUM(Data_Analyst_Intern_Nikhil_Kumar_February2026[[#This Row],[Order Date]],2)</f>
        <v>44</v>
      </c>
      <c r="E139" s="23" t="str">
        <f>TEXT(Data_Analyst_Intern_Nikhil_Kumar_February2026[[#This Row],[Order Date]],"dddd")</f>
        <v>Saturday</v>
      </c>
      <c r="F139" s="1">
        <v>45593</v>
      </c>
      <c r="G139" s="23" t="str">
        <f>TEXT(WEEKDAY(Data_Analyst_Intern_Nikhil_Kumar_February2026[[#This Row],[Order Date]],2), "dddd")</f>
        <v>Friday</v>
      </c>
      <c r="H139" t="s">
        <v>641</v>
      </c>
      <c r="I139" t="s">
        <v>25</v>
      </c>
      <c r="J139" t="s">
        <v>642</v>
      </c>
      <c r="K139" t="s">
        <v>54</v>
      </c>
      <c r="L139" t="s">
        <v>643</v>
      </c>
      <c r="M139" s="2">
        <v>1799</v>
      </c>
      <c r="N139">
        <v>1</v>
      </c>
      <c r="O139" s="2">
        <v>1799</v>
      </c>
      <c r="P139" t="s">
        <v>537</v>
      </c>
      <c r="Q139">
        <v>40</v>
      </c>
      <c r="R139" s="4">
        <f>IFERROR(Data_Analyst_Intern_Nikhil_Kumar_February2026[[#This Row],[Total]]/Data_Analyst_Intern_Nikhil_Kumar_February2026[[#This Row],[Discount(%)]],0)</f>
        <v>44.975000000000001</v>
      </c>
      <c r="S139" s="2">
        <f>Data_Analyst_Intern_Nikhil_Kumar_February2026[[#This Row],[Total]]-Data_Analyst_Intern_Nikhil_Kumar_February2026[[#This Row],[Discount Amount]]</f>
        <v>1754.0250000000001</v>
      </c>
      <c r="T139" t="s">
        <v>44</v>
      </c>
      <c r="U139" t="s">
        <v>66</v>
      </c>
      <c r="V139" t="s">
        <v>188</v>
      </c>
      <c r="W139" t="s">
        <v>189</v>
      </c>
      <c r="X139" t="s">
        <v>57</v>
      </c>
      <c r="Y139" s="1">
        <v>45609</v>
      </c>
      <c r="Z139" s="3">
        <f>Data_Analyst_Intern_Nikhil_Kumar_February2026[[#This Row],[Del Date]]-Data_Analyst_Intern_Nikhil_Kumar_February2026[[#This Row],[Order Date]]</f>
        <v>11</v>
      </c>
      <c r="AA139" s="3" t="str" cm="1">
        <f t="array" ref="AA139">_xlfn.IFS(Data_Analyst_Intern_Nikhil_Kumar_February2026[[#This Row],[Del Days]]&lt;=7,"Fast",Data_Analyst_Intern_Nikhil_Kumar_February2026[[#This Row],[Del Days]]&lt;=15,"Standard",Data_Analyst_Intern_Nikhil_Kumar_February2026[[#This Row],[Del Days]]&gt;15,"Slow")</f>
        <v>Standard</v>
      </c>
      <c r="AB139" t="s">
        <v>34</v>
      </c>
      <c r="AC139">
        <f>IF(Data_Analyst_Intern_Nikhil_Kumar_February2026[[#This Row],[Status]]="RTO", 1,0)</f>
        <v>0</v>
      </c>
      <c r="AD139">
        <f>IF(Data_Analyst_Intern_Nikhil_Kumar_February2026[[#This Row],[Status]]="Delivered",1,0)</f>
        <v>1</v>
      </c>
      <c r="AE139" t="s">
        <v>35</v>
      </c>
      <c r="AF139">
        <f>IF(AND(Data_Analyst_Intern_Nikhil_Kumar_February2026[[#This Row],[Status]]="Delivered",Data_Analyst_Intern_Nikhil_Kumar_February2026[[#This Row],[Return?]]="Yes"),1,0)</f>
        <v>0</v>
      </c>
      <c r="AG139" t="s">
        <v>29</v>
      </c>
      <c r="AI139" t="s">
        <v>36</v>
      </c>
    </row>
    <row r="140" spans="1:35" x14ac:dyDescent="0.3">
      <c r="A140" t="s">
        <v>644</v>
      </c>
      <c r="B140" s="1">
        <v>45598</v>
      </c>
      <c r="C140" s="1" t="str">
        <f>TEXT(Data_Analyst_Intern_Nikhil_Kumar_February2026[[#This Row],[Order Date]], "mmmm")</f>
        <v>November</v>
      </c>
      <c r="D140" s="23">
        <f>WEEKNUM(Data_Analyst_Intern_Nikhil_Kumar_February2026[[#This Row],[Order Date]],2)</f>
        <v>44</v>
      </c>
      <c r="E140" s="23" t="str">
        <f>TEXT(Data_Analyst_Intern_Nikhil_Kumar_February2026[[#This Row],[Order Date]],"dddd")</f>
        <v>Saturday</v>
      </c>
      <c r="F140" s="1">
        <v>45593</v>
      </c>
      <c r="G140" s="23" t="str">
        <f>TEXT(WEEKDAY(Data_Analyst_Intern_Nikhil_Kumar_February2026[[#This Row],[Order Date]],2), "dddd")</f>
        <v>Friday</v>
      </c>
      <c r="H140" t="s">
        <v>645</v>
      </c>
      <c r="I140" t="s">
        <v>39</v>
      </c>
      <c r="J140" t="s">
        <v>646</v>
      </c>
      <c r="K140" t="s">
        <v>62</v>
      </c>
      <c r="L140" t="s">
        <v>647</v>
      </c>
      <c r="M140" s="2">
        <v>7999</v>
      </c>
      <c r="N140">
        <v>1</v>
      </c>
      <c r="O140" s="2">
        <v>7999</v>
      </c>
      <c r="P140" t="s">
        <v>537</v>
      </c>
      <c r="Q140">
        <v>40</v>
      </c>
      <c r="R140" s="4">
        <f>IFERROR(Data_Analyst_Intern_Nikhil_Kumar_February2026[[#This Row],[Total]]/Data_Analyst_Intern_Nikhil_Kumar_February2026[[#This Row],[Discount(%)]],0)</f>
        <v>199.97499999999999</v>
      </c>
      <c r="S140" s="2">
        <f>Data_Analyst_Intern_Nikhil_Kumar_February2026[[#This Row],[Total]]-Data_Analyst_Intern_Nikhil_Kumar_February2026[[#This Row],[Discount Amount]]</f>
        <v>7799.0249999999996</v>
      </c>
      <c r="T140" t="s">
        <v>112</v>
      </c>
      <c r="U140" t="s">
        <v>31</v>
      </c>
      <c r="V140" t="s">
        <v>194</v>
      </c>
      <c r="W140" t="s">
        <v>183</v>
      </c>
      <c r="X140" t="s">
        <v>57</v>
      </c>
      <c r="Y140" s="1">
        <v>45611</v>
      </c>
      <c r="Z140" s="3">
        <f>Data_Analyst_Intern_Nikhil_Kumar_February2026[[#This Row],[Del Date]]-Data_Analyst_Intern_Nikhil_Kumar_February2026[[#This Row],[Order Date]]</f>
        <v>13</v>
      </c>
      <c r="AA140" s="3" t="str" cm="1">
        <f t="array" ref="AA140">_xlfn.IFS(Data_Analyst_Intern_Nikhil_Kumar_February2026[[#This Row],[Del Days]]&lt;=7,"Fast",Data_Analyst_Intern_Nikhil_Kumar_February2026[[#This Row],[Del Days]]&lt;=15,"Standard",Data_Analyst_Intern_Nikhil_Kumar_February2026[[#This Row],[Del Days]]&gt;15,"Slow")</f>
        <v>Standard</v>
      </c>
      <c r="AB140" t="s">
        <v>34</v>
      </c>
      <c r="AC140">
        <f>IF(Data_Analyst_Intern_Nikhil_Kumar_February2026[[#This Row],[Status]]="RTO", 1,0)</f>
        <v>0</v>
      </c>
      <c r="AD140">
        <f>IF(Data_Analyst_Intern_Nikhil_Kumar_February2026[[#This Row],[Status]]="Delivered",1,0)</f>
        <v>1</v>
      </c>
      <c r="AE140" t="s">
        <v>47</v>
      </c>
      <c r="AF140">
        <f>IF(AND(Data_Analyst_Intern_Nikhil_Kumar_February2026[[#This Row],[Status]]="Delivered",Data_Analyst_Intern_Nikhil_Kumar_February2026[[#This Row],[Return?]]="Yes"),1,0)</f>
        <v>1</v>
      </c>
      <c r="AG140" t="s">
        <v>80</v>
      </c>
      <c r="AH140" s="1">
        <v>45640</v>
      </c>
      <c r="AI140" t="s">
        <v>49</v>
      </c>
    </row>
    <row r="141" spans="1:35" x14ac:dyDescent="0.3">
      <c r="A141" t="s">
        <v>648</v>
      </c>
      <c r="B141" s="1">
        <v>45599</v>
      </c>
      <c r="C141" s="1" t="str">
        <f>TEXT(Data_Analyst_Intern_Nikhil_Kumar_February2026[[#This Row],[Order Date]], "mmmm")</f>
        <v>November</v>
      </c>
      <c r="D141" s="23">
        <f>WEEKNUM(Data_Analyst_Intern_Nikhil_Kumar_February2026[[#This Row],[Order Date]],2)</f>
        <v>44</v>
      </c>
      <c r="E141" s="23" t="str">
        <f>TEXT(Data_Analyst_Intern_Nikhil_Kumar_February2026[[#This Row],[Order Date]],"dddd")</f>
        <v>Sunday</v>
      </c>
      <c r="F141" s="1">
        <v>45593</v>
      </c>
      <c r="G141" s="23" t="str">
        <f>TEXT(WEEKDAY(Data_Analyst_Intern_Nikhil_Kumar_February2026[[#This Row],[Order Date]],2), "dddd")</f>
        <v>Saturday</v>
      </c>
      <c r="H141" t="s">
        <v>649</v>
      </c>
      <c r="I141" t="s">
        <v>25</v>
      </c>
      <c r="J141" t="s">
        <v>650</v>
      </c>
      <c r="K141" t="s">
        <v>72</v>
      </c>
      <c r="L141" t="s">
        <v>651</v>
      </c>
      <c r="M141" s="2">
        <v>2499</v>
      </c>
      <c r="N141">
        <v>1</v>
      </c>
      <c r="O141" s="2">
        <v>2499</v>
      </c>
      <c r="P141" t="s">
        <v>537</v>
      </c>
      <c r="Q141">
        <v>40</v>
      </c>
      <c r="R141" s="4">
        <f>IFERROR(Data_Analyst_Intern_Nikhil_Kumar_February2026[[#This Row],[Total]]/Data_Analyst_Intern_Nikhil_Kumar_February2026[[#This Row],[Discount(%)]],0)</f>
        <v>62.475000000000001</v>
      </c>
      <c r="S141" s="2">
        <f>Data_Analyst_Intern_Nikhil_Kumar_February2026[[#This Row],[Total]]-Data_Analyst_Intern_Nikhil_Kumar_February2026[[#This Row],[Discount Amount]]</f>
        <v>2436.5250000000001</v>
      </c>
      <c r="T141" t="s">
        <v>65</v>
      </c>
      <c r="U141" t="s">
        <v>45</v>
      </c>
      <c r="V141" t="s">
        <v>199</v>
      </c>
      <c r="W141" t="s">
        <v>58</v>
      </c>
      <c r="X141" t="s">
        <v>57</v>
      </c>
      <c r="Y141" s="1">
        <v>45610</v>
      </c>
      <c r="Z141" s="3">
        <f>Data_Analyst_Intern_Nikhil_Kumar_February2026[[#This Row],[Del Date]]-Data_Analyst_Intern_Nikhil_Kumar_February2026[[#This Row],[Order Date]]</f>
        <v>11</v>
      </c>
      <c r="AA141" s="3" t="str" cm="1">
        <f t="array" ref="AA141">_xlfn.IFS(Data_Analyst_Intern_Nikhil_Kumar_February2026[[#This Row],[Del Days]]&lt;=7,"Fast",Data_Analyst_Intern_Nikhil_Kumar_February2026[[#This Row],[Del Days]]&lt;=15,"Standard",Data_Analyst_Intern_Nikhil_Kumar_February2026[[#This Row],[Del Days]]&gt;15,"Slow")</f>
        <v>Standard</v>
      </c>
      <c r="AB141" t="s">
        <v>34</v>
      </c>
      <c r="AC141">
        <f>IF(Data_Analyst_Intern_Nikhil_Kumar_February2026[[#This Row],[Status]]="RTO", 1,0)</f>
        <v>0</v>
      </c>
      <c r="AD141">
        <f>IF(Data_Analyst_Intern_Nikhil_Kumar_February2026[[#This Row],[Status]]="Delivered",1,0)</f>
        <v>1</v>
      </c>
      <c r="AE141" t="s">
        <v>47</v>
      </c>
      <c r="AF141">
        <f>IF(AND(Data_Analyst_Intern_Nikhil_Kumar_February2026[[#This Row],[Status]]="Delivered",Data_Analyst_Intern_Nikhil_Kumar_February2026[[#This Row],[Return?]]="Yes"),1,0)</f>
        <v>1</v>
      </c>
      <c r="AG141" t="s">
        <v>139</v>
      </c>
      <c r="AH141" s="1">
        <v>45638</v>
      </c>
      <c r="AI141" t="s">
        <v>49</v>
      </c>
    </row>
    <row r="142" spans="1:35" x14ac:dyDescent="0.3">
      <c r="A142" t="s">
        <v>652</v>
      </c>
      <c r="B142" s="1">
        <v>45599</v>
      </c>
      <c r="C142" s="1" t="str">
        <f>TEXT(Data_Analyst_Intern_Nikhil_Kumar_February2026[[#This Row],[Order Date]], "mmmm")</f>
        <v>November</v>
      </c>
      <c r="D142" s="23">
        <f>WEEKNUM(Data_Analyst_Intern_Nikhil_Kumar_February2026[[#This Row],[Order Date]],2)</f>
        <v>44</v>
      </c>
      <c r="E142" s="23" t="str">
        <f>TEXT(Data_Analyst_Intern_Nikhil_Kumar_February2026[[#This Row],[Order Date]],"dddd")</f>
        <v>Sunday</v>
      </c>
      <c r="F142" s="1">
        <v>45593</v>
      </c>
      <c r="G142" s="23" t="str">
        <f>TEXT(WEEKDAY(Data_Analyst_Intern_Nikhil_Kumar_February2026[[#This Row],[Order Date]],2), "dddd")</f>
        <v>Saturday</v>
      </c>
      <c r="H142" t="s">
        <v>653</v>
      </c>
      <c r="I142" t="s">
        <v>25</v>
      </c>
      <c r="J142" t="s">
        <v>654</v>
      </c>
      <c r="K142" t="s">
        <v>27</v>
      </c>
      <c r="L142" t="s">
        <v>655</v>
      </c>
      <c r="M142" s="2">
        <v>2299</v>
      </c>
      <c r="N142">
        <v>1</v>
      </c>
      <c r="O142" s="2">
        <v>2299</v>
      </c>
      <c r="P142" t="s">
        <v>537</v>
      </c>
      <c r="Q142">
        <v>40</v>
      </c>
      <c r="R142" s="4">
        <f>IFERROR(Data_Analyst_Intern_Nikhil_Kumar_February2026[[#This Row],[Total]]/Data_Analyst_Intern_Nikhil_Kumar_February2026[[#This Row],[Discount(%)]],0)</f>
        <v>57.475000000000001</v>
      </c>
      <c r="S142" s="2">
        <f>Data_Analyst_Intern_Nikhil_Kumar_February2026[[#This Row],[Total]]-Data_Analyst_Intern_Nikhil_Kumar_February2026[[#This Row],[Discount Amount]]</f>
        <v>2241.5250000000001</v>
      </c>
      <c r="T142" t="s">
        <v>30</v>
      </c>
      <c r="U142" t="s">
        <v>66</v>
      </c>
      <c r="V142" t="s">
        <v>204</v>
      </c>
      <c r="W142" t="s">
        <v>98</v>
      </c>
      <c r="X142" t="s">
        <v>32</v>
      </c>
      <c r="Y142" s="1">
        <v>45611</v>
      </c>
      <c r="Z142" s="3">
        <f>Data_Analyst_Intern_Nikhil_Kumar_February2026[[#This Row],[Del Date]]-Data_Analyst_Intern_Nikhil_Kumar_February2026[[#This Row],[Order Date]]</f>
        <v>12</v>
      </c>
      <c r="AA142" s="3" t="str" cm="1">
        <f t="array" ref="AA142">_xlfn.IFS(Data_Analyst_Intern_Nikhil_Kumar_February2026[[#This Row],[Del Days]]&lt;=7,"Fast",Data_Analyst_Intern_Nikhil_Kumar_February2026[[#This Row],[Del Days]]&lt;=15,"Standard",Data_Analyst_Intern_Nikhil_Kumar_February2026[[#This Row],[Del Days]]&gt;15,"Slow")</f>
        <v>Standard</v>
      </c>
      <c r="AB142" t="s">
        <v>34</v>
      </c>
      <c r="AC142">
        <f>IF(Data_Analyst_Intern_Nikhil_Kumar_February2026[[#This Row],[Status]]="RTO", 1,0)</f>
        <v>0</v>
      </c>
      <c r="AD142">
        <f>IF(Data_Analyst_Intern_Nikhil_Kumar_February2026[[#This Row],[Status]]="Delivered",1,0)</f>
        <v>1</v>
      </c>
      <c r="AE142" t="s">
        <v>47</v>
      </c>
      <c r="AF142">
        <f>IF(AND(Data_Analyst_Intern_Nikhil_Kumar_February2026[[#This Row],[Status]]="Delivered",Data_Analyst_Intern_Nikhil_Kumar_February2026[[#This Row],[Return?]]="Yes"),1,0)</f>
        <v>1</v>
      </c>
      <c r="AG142" t="s">
        <v>48</v>
      </c>
      <c r="AH142" s="1">
        <v>45639</v>
      </c>
      <c r="AI142" t="s">
        <v>49</v>
      </c>
    </row>
    <row r="143" spans="1:35" x14ac:dyDescent="0.3">
      <c r="A143" t="s">
        <v>656</v>
      </c>
      <c r="B143" s="1">
        <v>45599</v>
      </c>
      <c r="C143" s="1" t="str">
        <f>TEXT(Data_Analyst_Intern_Nikhil_Kumar_February2026[[#This Row],[Order Date]], "mmmm")</f>
        <v>November</v>
      </c>
      <c r="D143" s="23">
        <f>WEEKNUM(Data_Analyst_Intern_Nikhil_Kumar_February2026[[#This Row],[Order Date]],2)</f>
        <v>44</v>
      </c>
      <c r="E143" s="23" t="str">
        <f>TEXT(Data_Analyst_Intern_Nikhil_Kumar_February2026[[#This Row],[Order Date]],"dddd")</f>
        <v>Sunday</v>
      </c>
      <c r="F143" s="1">
        <v>45593</v>
      </c>
      <c r="G143" s="23" t="str">
        <f>TEXT(WEEKDAY(Data_Analyst_Intern_Nikhil_Kumar_February2026[[#This Row],[Order Date]],2), "dddd")</f>
        <v>Saturday</v>
      </c>
      <c r="H143" t="s">
        <v>657</v>
      </c>
      <c r="I143" t="s">
        <v>25</v>
      </c>
      <c r="J143" t="s">
        <v>476</v>
      </c>
      <c r="K143" t="s">
        <v>41</v>
      </c>
      <c r="L143" t="s">
        <v>658</v>
      </c>
      <c r="M143" s="2">
        <v>5999</v>
      </c>
      <c r="N143">
        <v>1</v>
      </c>
      <c r="O143" s="2">
        <v>5999</v>
      </c>
      <c r="P143" t="s">
        <v>537</v>
      </c>
      <c r="Q143">
        <v>40</v>
      </c>
      <c r="R143" s="4">
        <f>IFERROR(Data_Analyst_Intern_Nikhil_Kumar_February2026[[#This Row],[Total]]/Data_Analyst_Intern_Nikhil_Kumar_February2026[[#This Row],[Discount(%)]],0)</f>
        <v>149.97499999999999</v>
      </c>
      <c r="S143" s="2">
        <f>Data_Analyst_Intern_Nikhil_Kumar_February2026[[#This Row],[Total]]-Data_Analyst_Intern_Nikhil_Kumar_February2026[[#This Row],[Discount Amount]]</f>
        <v>5849.0249999999996</v>
      </c>
      <c r="T143" t="s">
        <v>44</v>
      </c>
      <c r="U143" t="s">
        <v>31</v>
      </c>
      <c r="V143" t="s">
        <v>209</v>
      </c>
      <c r="W143" t="s">
        <v>98</v>
      </c>
      <c r="X143" t="s">
        <v>32</v>
      </c>
      <c r="Y143" s="1">
        <v>45612</v>
      </c>
      <c r="Z143" s="3">
        <f>Data_Analyst_Intern_Nikhil_Kumar_February2026[[#This Row],[Del Date]]-Data_Analyst_Intern_Nikhil_Kumar_February2026[[#This Row],[Order Date]]</f>
        <v>13</v>
      </c>
      <c r="AA143" s="3" t="str" cm="1">
        <f t="array" ref="AA143">_xlfn.IFS(Data_Analyst_Intern_Nikhil_Kumar_February2026[[#This Row],[Del Days]]&lt;=7,"Fast",Data_Analyst_Intern_Nikhil_Kumar_February2026[[#This Row],[Del Days]]&lt;=15,"Standard",Data_Analyst_Intern_Nikhil_Kumar_February2026[[#This Row],[Del Days]]&gt;15,"Slow")</f>
        <v>Standard</v>
      </c>
      <c r="AB143" t="s">
        <v>34</v>
      </c>
      <c r="AC143">
        <f>IF(Data_Analyst_Intern_Nikhil_Kumar_February2026[[#This Row],[Status]]="RTO", 1,0)</f>
        <v>0</v>
      </c>
      <c r="AD143">
        <f>IF(Data_Analyst_Intern_Nikhil_Kumar_February2026[[#This Row],[Status]]="Delivered",1,0)</f>
        <v>1</v>
      </c>
      <c r="AE143" t="s">
        <v>47</v>
      </c>
      <c r="AF143">
        <f>IF(AND(Data_Analyst_Intern_Nikhil_Kumar_February2026[[#This Row],[Status]]="Delivered",Data_Analyst_Intern_Nikhil_Kumar_February2026[[#This Row],[Return?]]="Yes"),1,0)</f>
        <v>1</v>
      </c>
      <c r="AG143" t="s">
        <v>105</v>
      </c>
      <c r="AH143" s="1">
        <v>45641</v>
      </c>
      <c r="AI143" t="s">
        <v>49</v>
      </c>
    </row>
    <row r="144" spans="1:35" x14ac:dyDescent="0.3">
      <c r="A144" t="s">
        <v>659</v>
      </c>
      <c r="B144" s="1">
        <v>45599</v>
      </c>
      <c r="C144" s="1" t="str">
        <f>TEXT(Data_Analyst_Intern_Nikhil_Kumar_February2026[[#This Row],[Order Date]], "mmmm")</f>
        <v>November</v>
      </c>
      <c r="D144" s="23">
        <f>WEEKNUM(Data_Analyst_Intern_Nikhil_Kumar_February2026[[#This Row],[Order Date]],2)</f>
        <v>44</v>
      </c>
      <c r="E144" s="23" t="str">
        <f>TEXT(Data_Analyst_Intern_Nikhil_Kumar_February2026[[#This Row],[Order Date]],"dddd")</f>
        <v>Sunday</v>
      </c>
      <c r="F144" s="1">
        <v>45593</v>
      </c>
      <c r="G144" s="23" t="str">
        <f>TEXT(WEEKDAY(Data_Analyst_Intern_Nikhil_Kumar_February2026[[#This Row],[Order Date]],2), "dddd")</f>
        <v>Saturday</v>
      </c>
      <c r="H144" t="s">
        <v>660</v>
      </c>
      <c r="I144" t="s">
        <v>39</v>
      </c>
      <c r="J144" t="s">
        <v>661</v>
      </c>
      <c r="K144" t="s">
        <v>54</v>
      </c>
      <c r="L144" t="s">
        <v>662</v>
      </c>
      <c r="M144" s="2">
        <v>2599</v>
      </c>
      <c r="N144">
        <v>1</v>
      </c>
      <c r="O144" s="2">
        <v>2599</v>
      </c>
      <c r="P144" t="s">
        <v>537</v>
      </c>
      <c r="Q144">
        <v>40</v>
      </c>
      <c r="R144" s="4">
        <f>IFERROR(Data_Analyst_Intern_Nikhil_Kumar_February2026[[#This Row],[Total]]/Data_Analyst_Intern_Nikhil_Kumar_February2026[[#This Row],[Discount(%)]],0)</f>
        <v>64.974999999999994</v>
      </c>
      <c r="S144" s="2">
        <f>Data_Analyst_Intern_Nikhil_Kumar_February2026[[#This Row],[Total]]-Data_Analyst_Intern_Nikhil_Kumar_February2026[[#This Row],[Discount Amount]]</f>
        <v>2534.0250000000001</v>
      </c>
      <c r="T144" t="s">
        <v>56</v>
      </c>
      <c r="U144" t="s">
        <v>45</v>
      </c>
      <c r="V144" t="s">
        <v>214</v>
      </c>
      <c r="W144" t="s">
        <v>114</v>
      </c>
      <c r="X144" t="s">
        <v>46</v>
      </c>
      <c r="Y144" s="1">
        <v>45611</v>
      </c>
      <c r="Z144" s="3">
        <f>Data_Analyst_Intern_Nikhil_Kumar_February2026[[#This Row],[Del Date]]-Data_Analyst_Intern_Nikhil_Kumar_February2026[[#This Row],[Order Date]]</f>
        <v>12</v>
      </c>
      <c r="AA144" s="3" t="str" cm="1">
        <f t="array" ref="AA144">_xlfn.IFS(Data_Analyst_Intern_Nikhil_Kumar_February2026[[#This Row],[Del Days]]&lt;=7,"Fast",Data_Analyst_Intern_Nikhil_Kumar_February2026[[#This Row],[Del Days]]&lt;=15,"Standard",Data_Analyst_Intern_Nikhil_Kumar_February2026[[#This Row],[Del Days]]&gt;15,"Slow")</f>
        <v>Standard</v>
      </c>
      <c r="AB144" t="s">
        <v>34</v>
      </c>
      <c r="AC144">
        <f>IF(Data_Analyst_Intern_Nikhil_Kumar_February2026[[#This Row],[Status]]="RTO", 1,0)</f>
        <v>0</v>
      </c>
      <c r="AD144">
        <f>IF(Data_Analyst_Intern_Nikhil_Kumar_February2026[[#This Row],[Status]]="Delivered",1,0)</f>
        <v>1</v>
      </c>
      <c r="AE144" t="s">
        <v>35</v>
      </c>
      <c r="AF144">
        <f>IF(AND(Data_Analyst_Intern_Nikhil_Kumar_February2026[[#This Row],[Status]]="Delivered",Data_Analyst_Intern_Nikhil_Kumar_February2026[[#This Row],[Return?]]="Yes"),1,0)</f>
        <v>0</v>
      </c>
      <c r="AG144" t="s">
        <v>29</v>
      </c>
      <c r="AI144" t="s">
        <v>36</v>
      </c>
    </row>
    <row r="145" spans="1:35" x14ac:dyDescent="0.3">
      <c r="A145" t="s">
        <v>663</v>
      </c>
      <c r="B145" s="1">
        <v>45600</v>
      </c>
      <c r="C145" s="1" t="str">
        <f>TEXT(Data_Analyst_Intern_Nikhil_Kumar_February2026[[#This Row],[Order Date]], "mmmm")</f>
        <v>November</v>
      </c>
      <c r="D145" s="23">
        <f>WEEKNUM(Data_Analyst_Intern_Nikhil_Kumar_February2026[[#This Row],[Order Date]],2)</f>
        <v>45</v>
      </c>
      <c r="E145" s="23" t="str">
        <f>TEXT(Data_Analyst_Intern_Nikhil_Kumar_February2026[[#This Row],[Order Date]],"dddd")</f>
        <v>Monday</v>
      </c>
      <c r="F145" s="1">
        <v>45600</v>
      </c>
      <c r="G145" s="23" t="str">
        <f>TEXT(WEEKDAY(Data_Analyst_Intern_Nikhil_Kumar_February2026[[#This Row],[Order Date]],2), "dddd")</f>
        <v>Sunday</v>
      </c>
      <c r="H145" t="s">
        <v>664</v>
      </c>
      <c r="I145" t="s">
        <v>25</v>
      </c>
      <c r="J145" t="s">
        <v>665</v>
      </c>
      <c r="K145" t="s">
        <v>62</v>
      </c>
      <c r="L145" t="s">
        <v>666</v>
      </c>
      <c r="M145" s="2">
        <v>4299</v>
      </c>
      <c r="N145">
        <v>1</v>
      </c>
      <c r="O145" s="2">
        <v>4299</v>
      </c>
      <c r="P145" t="s">
        <v>537</v>
      </c>
      <c r="Q145">
        <v>40</v>
      </c>
      <c r="R145" s="4">
        <f>IFERROR(Data_Analyst_Intern_Nikhil_Kumar_February2026[[#This Row],[Total]]/Data_Analyst_Intern_Nikhil_Kumar_February2026[[#This Row],[Discount(%)]],0)</f>
        <v>107.47499999999999</v>
      </c>
      <c r="S145" s="2">
        <f>Data_Analyst_Intern_Nikhil_Kumar_February2026[[#This Row],[Total]]-Data_Analyst_Intern_Nikhil_Kumar_February2026[[#This Row],[Discount Amount]]</f>
        <v>4191.5249999999996</v>
      </c>
      <c r="T145" t="s">
        <v>44</v>
      </c>
      <c r="U145" t="s">
        <v>66</v>
      </c>
      <c r="V145" t="s">
        <v>32</v>
      </c>
      <c r="W145" t="s">
        <v>33</v>
      </c>
      <c r="X145" t="s">
        <v>32</v>
      </c>
      <c r="Y145" s="1">
        <v>45613</v>
      </c>
      <c r="Z145" s="3">
        <f>Data_Analyst_Intern_Nikhil_Kumar_February2026[[#This Row],[Del Date]]-Data_Analyst_Intern_Nikhil_Kumar_February2026[[#This Row],[Order Date]]</f>
        <v>13</v>
      </c>
      <c r="AA145" s="3" t="str" cm="1">
        <f t="array" ref="AA145">_xlfn.IFS(Data_Analyst_Intern_Nikhil_Kumar_February2026[[#This Row],[Del Days]]&lt;=7,"Fast",Data_Analyst_Intern_Nikhil_Kumar_February2026[[#This Row],[Del Days]]&lt;=15,"Standard",Data_Analyst_Intern_Nikhil_Kumar_February2026[[#This Row],[Del Days]]&gt;15,"Slow")</f>
        <v>Standard</v>
      </c>
      <c r="AB145" t="s">
        <v>34</v>
      </c>
      <c r="AC145">
        <f>IF(Data_Analyst_Intern_Nikhil_Kumar_February2026[[#This Row],[Status]]="RTO", 1,0)</f>
        <v>0</v>
      </c>
      <c r="AD145">
        <f>IF(Data_Analyst_Intern_Nikhil_Kumar_February2026[[#This Row],[Status]]="Delivered",1,0)</f>
        <v>1</v>
      </c>
      <c r="AE145" t="s">
        <v>47</v>
      </c>
      <c r="AF145">
        <f>IF(AND(Data_Analyst_Intern_Nikhil_Kumar_February2026[[#This Row],[Status]]="Delivered",Data_Analyst_Intern_Nikhil_Kumar_February2026[[#This Row],[Return?]]="Yes"),1,0)</f>
        <v>1</v>
      </c>
      <c r="AG145" t="s">
        <v>69</v>
      </c>
      <c r="AH145" s="1">
        <v>45642</v>
      </c>
      <c r="AI145" t="s">
        <v>49</v>
      </c>
    </row>
    <row r="146" spans="1:35" x14ac:dyDescent="0.3">
      <c r="A146" t="s">
        <v>667</v>
      </c>
      <c r="B146" s="1">
        <v>45600</v>
      </c>
      <c r="C146" s="1" t="str">
        <f>TEXT(Data_Analyst_Intern_Nikhil_Kumar_February2026[[#This Row],[Order Date]], "mmmm")</f>
        <v>November</v>
      </c>
      <c r="D146" s="23">
        <f>WEEKNUM(Data_Analyst_Intern_Nikhil_Kumar_February2026[[#This Row],[Order Date]],2)</f>
        <v>45</v>
      </c>
      <c r="E146" s="23" t="str">
        <f>TEXT(Data_Analyst_Intern_Nikhil_Kumar_February2026[[#This Row],[Order Date]],"dddd")</f>
        <v>Monday</v>
      </c>
      <c r="F146" s="1">
        <v>45600</v>
      </c>
      <c r="G146" s="23" t="str">
        <f>TEXT(WEEKDAY(Data_Analyst_Intern_Nikhil_Kumar_February2026[[#This Row],[Order Date]],2), "dddd")</f>
        <v>Sunday</v>
      </c>
      <c r="H146" t="s">
        <v>668</v>
      </c>
      <c r="I146" t="s">
        <v>25</v>
      </c>
      <c r="J146" t="s">
        <v>669</v>
      </c>
      <c r="K146" t="s">
        <v>72</v>
      </c>
      <c r="L146" t="s">
        <v>670</v>
      </c>
      <c r="M146" s="2">
        <v>799</v>
      </c>
      <c r="N146">
        <v>1</v>
      </c>
      <c r="O146" s="2">
        <v>799</v>
      </c>
      <c r="P146" t="s">
        <v>537</v>
      </c>
      <c r="Q146">
        <v>40</v>
      </c>
      <c r="R146" s="4">
        <f>IFERROR(Data_Analyst_Intern_Nikhil_Kumar_February2026[[#This Row],[Total]]/Data_Analyst_Intern_Nikhil_Kumar_February2026[[#This Row],[Discount(%)]],0)</f>
        <v>19.975000000000001</v>
      </c>
      <c r="S146" s="2">
        <f>Data_Analyst_Intern_Nikhil_Kumar_February2026[[#This Row],[Total]]-Data_Analyst_Intern_Nikhil_Kumar_February2026[[#This Row],[Discount Amount]]</f>
        <v>779.02499999999998</v>
      </c>
      <c r="T146" t="s">
        <v>30</v>
      </c>
      <c r="U146" t="s">
        <v>31</v>
      </c>
      <c r="V146" t="s">
        <v>46</v>
      </c>
      <c r="W146" t="s">
        <v>46</v>
      </c>
      <c r="X146" t="s">
        <v>46</v>
      </c>
      <c r="Y146" s="1">
        <v>45612</v>
      </c>
      <c r="Z146" s="3">
        <f>Data_Analyst_Intern_Nikhil_Kumar_February2026[[#This Row],[Del Date]]-Data_Analyst_Intern_Nikhil_Kumar_February2026[[#This Row],[Order Date]]</f>
        <v>12</v>
      </c>
      <c r="AA146" s="3" t="str" cm="1">
        <f t="array" ref="AA146">_xlfn.IFS(Data_Analyst_Intern_Nikhil_Kumar_February2026[[#This Row],[Del Days]]&lt;=7,"Fast",Data_Analyst_Intern_Nikhil_Kumar_February2026[[#This Row],[Del Days]]&lt;=15,"Standard",Data_Analyst_Intern_Nikhil_Kumar_February2026[[#This Row],[Del Days]]&gt;15,"Slow")</f>
        <v>Standard</v>
      </c>
      <c r="AB146" t="s">
        <v>34</v>
      </c>
      <c r="AC146">
        <f>IF(Data_Analyst_Intern_Nikhil_Kumar_February2026[[#This Row],[Status]]="RTO", 1,0)</f>
        <v>0</v>
      </c>
      <c r="AD146">
        <f>IF(Data_Analyst_Intern_Nikhil_Kumar_February2026[[#This Row],[Status]]="Delivered",1,0)</f>
        <v>1</v>
      </c>
      <c r="AE146" t="s">
        <v>35</v>
      </c>
      <c r="AF146">
        <f>IF(AND(Data_Analyst_Intern_Nikhil_Kumar_February2026[[#This Row],[Status]]="Delivered",Data_Analyst_Intern_Nikhil_Kumar_February2026[[#This Row],[Return?]]="Yes"),1,0)</f>
        <v>0</v>
      </c>
      <c r="AG146" t="s">
        <v>29</v>
      </c>
      <c r="AI146" t="s">
        <v>36</v>
      </c>
    </row>
    <row r="147" spans="1:35" x14ac:dyDescent="0.3">
      <c r="A147" t="s">
        <v>671</v>
      </c>
      <c r="B147" s="1">
        <v>45600</v>
      </c>
      <c r="C147" s="1" t="str">
        <f>TEXT(Data_Analyst_Intern_Nikhil_Kumar_February2026[[#This Row],[Order Date]], "mmmm")</f>
        <v>November</v>
      </c>
      <c r="D147" s="23">
        <f>WEEKNUM(Data_Analyst_Intern_Nikhil_Kumar_February2026[[#This Row],[Order Date]],2)</f>
        <v>45</v>
      </c>
      <c r="E147" s="23" t="str">
        <f>TEXT(Data_Analyst_Intern_Nikhil_Kumar_February2026[[#This Row],[Order Date]],"dddd")</f>
        <v>Monday</v>
      </c>
      <c r="F147" s="1">
        <v>45600</v>
      </c>
      <c r="G147" s="23" t="str">
        <f>TEXT(WEEKDAY(Data_Analyst_Intern_Nikhil_Kumar_February2026[[#This Row],[Order Date]],2), "dddd")</f>
        <v>Sunday</v>
      </c>
      <c r="H147" t="s">
        <v>672</v>
      </c>
      <c r="I147" t="s">
        <v>25</v>
      </c>
      <c r="J147" t="s">
        <v>673</v>
      </c>
      <c r="K147" t="s">
        <v>27</v>
      </c>
      <c r="L147" t="s">
        <v>674</v>
      </c>
      <c r="M147" s="2">
        <v>1899</v>
      </c>
      <c r="N147">
        <v>1</v>
      </c>
      <c r="O147" s="2">
        <v>1899</v>
      </c>
      <c r="P147" t="s">
        <v>537</v>
      </c>
      <c r="Q147">
        <v>40</v>
      </c>
      <c r="R147" s="4">
        <f>IFERROR(Data_Analyst_Intern_Nikhil_Kumar_February2026[[#This Row],[Total]]/Data_Analyst_Intern_Nikhil_Kumar_February2026[[#This Row],[Discount(%)]],0)</f>
        <v>47.475000000000001</v>
      </c>
      <c r="S147" s="2">
        <f>Data_Analyst_Intern_Nikhil_Kumar_February2026[[#This Row],[Total]]-Data_Analyst_Intern_Nikhil_Kumar_February2026[[#This Row],[Discount Amount]]</f>
        <v>1851.5250000000001</v>
      </c>
      <c r="T147" t="s">
        <v>112</v>
      </c>
      <c r="U147" t="s">
        <v>45</v>
      </c>
      <c r="V147" t="s">
        <v>91</v>
      </c>
      <c r="W147" t="s">
        <v>92</v>
      </c>
      <c r="X147" t="s">
        <v>46</v>
      </c>
      <c r="Y147" s="1">
        <v>45613</v>
      </c>
      <c r="Z147" s="3">
        <f>Data_Analyst_Intern_Nikhil_Kumar_February2026[[#This Row],[Del Date]]-Data_Analyst_Intern_Nikhil_Kumar_February2026[[#This Row],[Order Date]]</f>
        <v>13</v>
      </c>
      <c r="AA147" s="3" t="str" cm="1">
        <f t="array" ref="AA147">_xlfn.IFS(Data_Analyst_Intern_Nikhil_Kumar_February2026[[#This Row],[Del Days]]&lt;=7,"Fast",Data_Analyst_Intern_Nikhil_Kumar_February2026[[#This Row],[Del Days]]&lt;=15,"Standard",Data_Analyst_Intern_Nikhil_Kumar_February2026[[#This Row],[Del Days]]&gt;15,"Slow")</f>
        <v>Standard</v>
      </c>
      <c r="AB147" t="s">
        <v>34</v>
      </c>
      <c r="AC147">
        <f>IF(Data_Analyst_Intern_Nikhil_Kumar_February2026[[#This Row],[Status]]="RTO", 1,0)</f>
        <v>0</v>
      </c>
      <c r="AD147">
        <f>IF(Data_Analyst_Intern_Nikhil_Kumar_February2026[[#This Row],[Status]]="Delivered",1,0)</f>
        <v>1</v>
      </c>
      <c r="AE147" t="s">
        <v>47</v>
      </c>
      <c r="AF147">
        <f>IF(AND(Data_Analyst_Intern_Nikhil_Kumar_February2026[[#This Row],[Status]]="Delivered",Data_Analyst_Intern_Nikhil_Kumar_February2026[[#This Row],[Return?]]="Yes"),1,0)</f>
        <v>1</v>
      </c>
      <c r="AG147" t="s">
        <v>48</v>
      </c>
      <c r="AH147" s="1">
        <v>45641</v>
      </c>
      <c r="AI147" t="s">
        <v>49</v>
      </c>
    </row>
    <row r="148" spans="1:35" x14ac:dyDescent="0.3">
      <c r="A148" t="s">
        <v>675</v>
      </c>
      <c r="B148" s="1">
        <v>45601</v>
      </c>
      <c r="C148" s="1" t="str">
        <f>TEXT(Data_Analyst_Intern_Nikhil_Kumar_February2026[[#This Row],[Order Date]], "mmmm")</f>
        <v>November</v>
      </c>
      <c r="D148" s="23">
        <f>WEEKNUM(Data_Analyst_Intern_Nikhil_Kumar_February2026[[#This Row],[Order Date]],2)</f>
        <v>45</v>
      </c>
      <c r="E148" s="23" t="str">
        <f>TEXT(Data_Analyst_Intern_Nikhil_Kumar_February2026[[#This Row],[Order Date]],"dddd")</f>
        <v>Tuesday</v>
      </c>
      <c r="F148" s="1">
        <v>45600</v>
      </c>
      <c r="G148" s="23" t="str">
        <f>TEXT(WEEKDAY(Data_Analyst_Intern_Nikhil_Kumar_February2026[[#This Row],[Order Date]],2), "dddd")</f>
        <v>Monday</v>
      </c>
      <c r="H148" t="s">
        <v>676</v>
      </c>
      <c r="I148" t="s">
        <v>25</v>
      </c>
      <c r="J148" t="s">
        <v>677</v>
      </c>
      <c r="K148" t="s">
        <v>41</v>
      </c>
      <c r="L148" t="s">
        <v>678</v>
      </c>
      <c r="M148" s="2">
        <v>4899</v>
      </c>
      <c r="N148">
        <v>1</v>
      </c>
      <c r="O148" s="2">
        <v>4899</v>
      </c>
      <c r="P148" t="s">
        <v>537</v>
      </c>
      <c r="Q148">
        <v>40</v>
      </c>
      <c r="R148" s="4">
        <f>IFERROR(Data_Analyst_Intern_Nikhil_Kumar_February2026[[#This Row],[Total]]/Data_Analyst_Intern_Nikhil_Kumar_February2026[[#This Row],[Discount(%)]],0)</f>
        <v>122.47499999999999</v>
      </c>
      <c r="S148" s="2">
        <f>Data_Analyst_Intern_Nikhil_Kumar_February2026[[#This Row],[Total]]-Data_Analyst_Intern_Nikhil_Kumar_February2026[[#This Row],[Discount Amount]]</f>
        <v>4776.5249999999996</v>
      </c>
      <c r="T148" t="s">
        <v>65</v>
      </c>
      <c r="U148" t="s">
        <v>66</v>
      </c>
      <c r="V148" t="s">
        <v>67</v>
      </c>
      <c r="W148" t="s">
        <v>68</v>
      </c>
      <c r="X148" t="s">
        <v>57</v>
      </c>
      <c r="Y148" s="1">
        <v>45614</v>
      </c>
      <c r="Z148" s="3">
        <f>Data_Analyst_Intern_Nikhil_Kumar_February2026[[#This Row],[Del Date]]-Data_Analyst_Intern_Nikhil_Kumar_February2026[[#This Row],[Order Date]]</f>
        <v>13</v>
      </c>
      <c r="AA148" s="3" t="str" cm="1">
        <f t="array" ref="AA148">_xlfn.IFS(Data_Analyst_Intern_Nikhil_Kumar_February2026[[#This Row],[Del Days]]&lt;=7,"Fast",Data_Analyst_Intern_Nikhil_Kumar_February2026[[#This Row],[Del Days]]&lt;=15,"Standard",Data_Analyst_Intern_Nikhil_Kumar_February2026[[#This Row],[Del Days]]&gt;15,"Slow")</f>
        <v>Standard</v>
      </c>
      <c r="AB148" t="s">
        <v>34</v>
      </c>
      <c r="AC148">
        <f>IF(Data_Analyst_Intern_Nikhil_Kumar_February2026[[#This Row],[Status]]="RTO", 1,0)</f>
        <v>0</v>
      </c>
      <c r="AD148">
        <f>IF(Data_Analyst_Intern_Nikhil_Kumar_February2026[[#This Row],[Status]]="Delivered",1,0)</f>
        <v>1</v>
      </c>
      <c r="AE148" t="s">
        <v>47</v>
      </c>
      <c r="AF148">
        <f>IF(AND(Data_Analyst_Intern_Nikhil_Kumar_February2026[[#This Row],[Status]]="Delivered",Data_Analyst_Intern_Nikhil_Kumar_February2026[[#This Row],[Return?]]="Yes"),1,0)</f>
        <v>1</v>
      </c>
      <c r="AG148" t="s">
        <v>80</v>
      </c>
      <c r="AH148" s="1">
        <v>45643</v>
      </c>
      <c r="AI148" t="s">
        <v>49</v>
      </c>
    </row>
    <row r="149" spans="1:35" x14ac:dyDescent="0.3">
      <c r="A149" t="s">
        <v>679</v>
      </c>
      <c r="B149" s="1">
        <v>45601</v>
      </c>
      <c r="C149" s="1" t="str">
        <f>TEXT(Data_Analyst_Intern_Nikhil_Kumar_February2026[[#This Row],[Order Date]], "mmmm")</f>
        <v>November</v>
      </c>
      <c r="D149" s="23">
        <f>WEEKNUM(Data_Analyst_Intern_Nikhil_Kumar_February2026[[#This Row],[Order Date]],2)</f>
        <v>45</v>
      </c>
      <c r="E149" s="23" t="str">
        <f>TEXT(Data_Analyst_Intern_Nikhil_Kumar_February2026[[#This Row],[Order Date]],"dddd")</f>
        <v>Tuesday</v>
      </c>
      <c r="F149" s="1">
        <v>45600</v>
      </c>
      <c r="G149" s="23" t="str">
        <f>TEXT(WEEKDAY(Data_Analyst_Intern_Nikhil_Kumar_February2026[[#This Row],[Order Date]],2), "dddd")</f>
        <v>Monday</v>
      </c>
      <c r="H149" t="s">
        <v>680</v>
      </c>
      <c r="I149" t="s">
        <v>39</v>
      </c>
      <c r="J149" t="s">
        <v>681</v>
      </c>
      <c r="K149" t="s">
        <v>54</v>
      </c>
      <c r="L149" t="s">
        <v>682</v>
      </c>
      <c r="M149" s="2">
        <v>1499</v>
      </c>
      <c r="N149">
        <v>1</v>
      </c>
      <c r="O149" s="2">
        <v>1499</v>
      </c>
      <c r="P149" t="s">
        <v>537</v>
      </c>
      <c r="Q149">
        <v>40</v>
      </c>
      <c r="R149" s="4">
        <f>IFERROR(Data_Analyst_Intern_Nikhil_Kumar_February2026[[#This Row],[Total]]/Data_Analyst_Intern_Nikhil_Kumar_February2026[[#This Row],[Discount(%)]],0)</f>
        <v>37.475000000000001</v>
      </c>
      <c r="S149" s="2">
        <f>Data_Analyst_Intern_Nikhil_Kumar_February2026[[#This Row],[Total]]-Data_Analyst_Intern_Nikhil_Kumar_February2026[[#This Row],[Discount Amount]]</f>
        <v>1461.5250000000001</v>
      </c>
      <c r="T149" t="s">
        <v>44</v>
      </c>
      <c r="U149" t="s">
        <v>31</v>
      </c>
      <c r="V149" t="s">
        <v>78</v>
      </c>
      <c r="W149" t="s">
        <v>79</v>
      </c>
      <c r="X149" t="s">
        <v>57</v>
      </c>
      <c r="Y149" s="1">
        <v>45613</v>
      </c>
      <c r="Z149" s="3">
        <f>Data_Analyst_Intern_Nikhil_Kumar_February2026[[#This Row],[Del Date]]-Data_Analyst_Intern_Nikhil_Kumar_February2026[[#This Row],[Order Date]]</f>
        <v>12</v>
      </c>
      <c r="AA149" s="3" t="str" cm="1">
        <f t="array" ref="AA149">_xlfn.IFS(Data_Analyst_Intern_Nikhil_Kumar_February2026[[#This Row],[Del Days]]&lt;=7,"Fast",Data_Analyst_Intern_Nikhil_Kumar_February2026[[#This Row],[Del Days]]&lt;=15,"Standard",Data_Analyst_Intern_Nikhil_Kumar_February2026[[#This Row],[Del Days]]&gt;15,"Slow")</f>
        <v>Standard</v>
      </c>
      <c r="AB149" t="s">
        <v>34</v>
      </c>
      <c r="AC149">
        <f>IF(Data_Analyst_Intern_Nikhil_Kumar_February2026[[#This Row],[Status]]="RTO", 1,0)</f>
        <v>0</v>
      </c>
      <c r="AD149">
        <f>IF(Data_Analyst_Intern_Nikhil_Kumar_February2026[[#This Row],[Status]]="Delivered",1,0)</f>
        <v>1</v>
      </c>
      <c r="AE149" t="s">
        <v>35</v>
      </c>
      <c r="AF149">
        <f>IF(AND(Data_Analyst_Intern_Nikhil_Kumar_February2026[[#This Row],[Status]]="Delivered",Data_Analyst_Intern_Nikhil_Kumar_February2026[[#This Row],[Return?]]="Yes"),1,0)</f>
        <v>0</v>
      </c>
      <c r="AG149" t="s">
        <v>29</v>
      </c>
      <c r="AI149" t="s">
        <v>36</v>
      </c>
    </row>
    <row r="150" spans="1:35" x14ac:dyDescent="0.3">
      <c r="A150" t="s">
        <v>683</v>
      </c>
      <c r="B150" s="1">
        <v>45601</v>
      </c>
      <c r="C150" s="1" t="str">
        <f>TEXT(Data_Analyst_Intern_Nikhil_Kumar_February2026[[#This Row],[Order Date]], "mmmm")</f>
        <v>November</v>
      </c>
      <c r="D150" s="23">
        <f>WEEKNUM(Data_Analyst_Intern_Nikhil_Kumar_February2026[[#This Row],[Order Date]],2)</f>
        <v>45</v>
      </c>
      <c r="E150" s="23" t="str">
        <f>TEXT(Data_Analyst_Intern_Nikhil_Kumar_February2026[[#This Row],[Order Date]],"dddd")</f>
        <v>Tuesday</v>
      </c>
      <c r="F150" s="1">
        <v>45600</v>
      </c>
      <c r="G150" s="23" t="str">
        <f>TEXT(WEEKDAY(Data_Analyst_Intern_Nikhil_Kumar_February2026[[#This Row],[Order Date]],2), "dddd")</f>
        <v>Monday</v>
      </c>
      <c r="H150" t="s">
        <v>684</v>
      </c>
      <c r="I150" t="s">
        <v>25</v>
      </c>
      <c r="J150" t="s">
        <v>685</v>
      </c>
      <c r="K150" t="s">
        <v>62</v>
      </c>
      <c r="L150" t="s">
        <v>686</v>
      </c>
      <c r="M150" s="2">
        <v>5699</v>
      </c>
      <c r="N150">
        <v>1</v>
      </c>
      <c r="O150" s="2">
        <v>5699</v>
      </c>
      <c r="P150" t="s">
        <v>537</v>
      </c>
      <c r="Q150">
        <v>40</v>
      </c>
      <c r="R150" s="4">
        <f>IFERROR(Data_Analyst_Intern_Nikhil_Kumar_February2026[[#This Row],[Total]]/Data_Analyst_Intern_Nikhil_Kumar_February2026[[#This Row],[Discount(%)]],0)</f>
        <v>142.47499999999999</v>
      </c>
      <c r="S150" s="2">
        <f>Data_Analyst_Intern_Nikhil_Kumar_February2026[[#This Row],[Total]]-Data_Analyst_Intern_Nikhil_Kumar_February2026[[#This Row],[Discount Amount]]</f>
        <v>5556.5249999999996</v>
      </c>
      <c r="T150" t="s">
        <v>30</v>
      </c>
      <c r="U150" t="s">
        <v>45</v>
      </c>
      <c r="V150" t="s">
        <v>85</v>
      </c>
      <c r="W150" t="s">
        <v>33</v>
      </c>
      <c r="X150" t="s">
        <v>32</v>
      </c>
      <c r="Y150" s="1">
        <v>45615</v>
      </c>
      <c r="Z150" s="3">
        <f>Data_Analyst_Intern_Nikhil_Kumar_February2026[[#This Row],[Del Date]]-Data_Analyst_Intern_Nikhil_Kumar_February2026[[#This Row],[Order Date]]</f>
        <v>14</v>
      </c>
      <c r="AA150" s="3" t="str" cm="1">
        <f t="array" ref="AA150">_xlfn.IFS(Data_Analyst_Intern_Nikhil_Kumar_February2026[[#This Row],[Del Days]]&lt;=7,"Fast",Data_Analyst_Intern_Nikhil_Kumar_February2026[[#This Row],[Del Days]]&lt;=15,"Standard",Data_Analyst_Intern_Nikhil_Kumar_February2026[[#This Row],[Del Days]]&gt;15,"Slow")</f>
        <v>Standard</v>
      </c>
      <c r="AB150" t="s">
        <v>34</v>
      </c>
      <c r="AC150">
        <f>IF(Data_Analyst_Intern_Nikhil_Kumar_February2026[[#This Row],[Status]]="RTO", 1,0)</f>
        <v>0</v>
      </c>
      <c r="AD150">
        <f>IF(Data_Analyst_Intern_Nikhil_Kumar_February2026[[#This Row],[Status]]="Delivered",1,0)</f>
        <v>1</v>
      </c>
      <c r="AE150" t="s">
        <v>47</v>
      </c>
      <c r="AF150">
        <f>IF(AND(Data_Analyst_Intern_Nikhil_Kumar_February2026[[#This Row],[Status]]="Delivered",Data_Analyst_Intern_Nikhil_Kumar_February2026[[#This Row],[Return?]]="Yes"),1,0)</f>
        <v>1</v>
      </c>
      <c r="AG150" t="s">
        <v>48</v>
      </c>
      <c r="AH150" s="1">
        <v>45644</v>
      </c>
      <c r="AI150" t="s">
        <v>49</v>
      </c>
    </row>
    <row r="151" spans="1:35" x14ac:dyDescent="0.3">
      <c r="A151" t="s">
        <v>687</v>
      </c>
      <c r="B151" s="1">
        <v>45601</v>
      </c>
      <c r="C151" s="1" t="str">
        <f>TEXT(Data_Analyst_Intern_Nikhil_Kumar_February2026[[#This Row],[Order Date]], "mmmm")</f>
        <v>November</v>
      </c>
      <c r="D151" s="23">
        <f>WEEKNUM(Data_Analyst_Intern_Nikhil_Kumar_February2026[[#This Row],[Order Date]],2)</f>
        <v>45</v>
      </c>
      <c r="E151" s="23" t="str">
        <f>TEXT(Data_Analyst_Intern_Nikhil_Kumar_February2026[[#This Row],[Order Date]],"dddd")</f>
        <v>Tuesday</v>
      </c>
      <c r="F151" s="1">
        <v>45600</v>
      </c>
      <c r="G151" s="23" t="str">
        <f>TEXT(WEEKDAY(Data_Analyst_Intern_Nikhil_Kumar_February2026[[#This Row],[Order Date]],2), "dddd")</f>
        <v>Monday</v>
      </c>
      <c r="H151" t="s">
        <v>688</v>
      </c>
      <c r="I151" t="s">
        <v>25</v>
      </c>
      <c r="J151" t="s">
        <v>689</v>
      </c>
      <c r="K151" t="s">
        <v>72</v>
      </c>
      <c r="L151" t="s">
        <v>690</v>
      </c>
      <c r="M151" s="2">
        <v>599</v>
      </c>
      <c r="N151">
        <v>4</v>
      </c>
      <c r="O151" s="2">
        <v>2396</v>
      </c>
      <c r="P151" t="s">
        <v>537</v>
      </c>
      <c r="Q151">
        <v>40</v>
      </c>
      <c r="R151" s="4">
        <f>IFERROR(Data_Analyst_Intern_Nikhil_Kumar_February2026[[#This Row],[Total]]/Data_Analyst_Intern_Nikhil_Kumar_February2026[[#This Row],[Discount(%)]],0)</f>
        <v>59.9</v>
      </c>
      <c r="S151" s="2">
        <f>Data_Analyst_Intern_Nikhil_Kumar_February2026[[#This Row],[Total]]-Data_Analyst_Intern_Nikhil_Kumar_February2026[[#This Row],[Discount Amount]]</f>
        <v>2336.1</v>
      </c>
      <c r="T151" t="s">
        <v>56</v>
      </c>
      <c r="U151" t="s">
        <v>66</v>
      </c>
      <c r="V151" t="s">
        <v>97</v>
      </c>
      <c r="W151" t="s">
        <v>98</v>
      </c>
      <c r="X151" t="s">
        <v>32</v>
      </c>
      <c r="Y151" s="1">
        <v>45614</v>
      </c>
      <c r="Z151" s="3">
        <f>Data_Analyst_Intern_Nikhil_Kumar_February2026[[#This Row],[Del Date]]-Data_Analyst_Intern_Nikhil_Kumar_February2026[[#This Row],[Order Date]]</f>
        <v>13</v>
      </c>
      <c r="AA151" s="3" t="str" cm="1">
        <f t="array" ref="AA151">_xlfn.IFS(Data_Analyst_Intern_Nikhil_Kumar_February2026[[#This Row],[Del Days]]&lt;=7,"Fast",Data_Analyst_Intern_Nikhil_Kumar_February2026[[#This Row],[Del Days]]&lt;=15,"Standard",Data_Analyst_Intern_Nikhil_Kumar_February2026[[#This Row],[Del Days]]&gt;15,"Slow")</f>
        <v>Standard</v>
      </c>
      <c r="AB151" t="s">
        <v>34</v>
      </c>
      <c r="AC151">
        <f>IF(Data_Analyst_Intern_Nikhil_Kumar_February2026[[#This Row],[Status]]="RTO", 1,0)</f>
        <v>0</v>
      </c>
      <c r="AD151">
        <f>IF(Data_Analyst_Intern_Nikhil_Kumar_February2026[[#This Row],[Status]]="Delivered",1,0)</f>
        <v>1</v>
      </c>
      <c r="AE151" t="s">
        <v>47</v>
      </c>
      <c r="AF151">
        <f>IF(AND(Data_Analyst_Intern_Nikhil_Kumar_February2026[[#This Row],[Status]]="Delivered",Data_Analyst_Intern_Nikhil_Kumar_February2026[[#This Row],[Return?]]="Yes"),1,0)</f>
        <v>1</v>
      </c>
      <c r="AG151" t="s">
        <v>139</v>
      </c>
      <c r="AH151" s="1">
        <v>45642</v>
      </c>
      <c r="AI151" t="s">
        <v>49</v>
      </c>
    </row>
    <row r="152" spans="1:35" x14ac:dyDescent="0.3">
      <c r="A152" t="s">
        <v>691</v>
      </c>
      <c r="B152" s="1">
        <v>45602</v>
      </c>
      <c r="C152" s="1" t="str">
        <f>TEXT(Data_Analyst_Intern_Nikhil_Kumar_February2026[[#This Row],[Order Date]], "mmmm")</f>
        <v>November</v>
      </c>
      <c r="D152" s="23">
        <f>WEEKNUM(Data_Analyst_Intern_Nikhil_Kumar_February2026[[#This Row],[Order Date]],2)</f>
        <v>45</v>
      </c>
      <c r="E152" s="23" t="str">
        <f>TEXT(Data_Analyst_Intern_Nikhil_Kumar_February2026[[#This Row],[Order Date]],"dddd")</f>
        <v>Wednesday</v>
      </c>
      <c r="F152" s="1">
        <v>45600</v>
      </c>
      <c r="G152" s="23" t="str">
        <f>TEXT(WEEKDAY(Data_Analyst_Intern_Nikhil_Kumar_February2026[[#This Row],[Order Date]],2), "dddd")</f>
        <v>Tuesday</v>
      </c>
      <c r="H152" t="s">
        <v>692</v>
      </c>
      <c r="I152" t="s">
        <v>25</v>
      </c>
      <c r="J152" t="s">
        <v>693</v>
      </c>
      <c r="K152" t="s">
        <v>27</v>
      </c>
      <c r="L152" t="s">
        <v>694</v>
      </c>
      <c r="M152" s="2">
        <v>2999</v>
      </c>
      <c r="N152">
        <v>1</v>
      </c>
      <c r="O152" s="2">
        <v>2999</v>
      </c>
      <c r="P152" t="s">
        <v>29</v>
      </c>
      <c r="Q152">
        <v>0</v>
      </c>
      <c r="R152" s="4">
        <f>IFERROR(Data_Analyst_Intern_Nikhil_Kumar_February2026[[#This Row],[Total]]/Data_Analyst_Intern_Nikhil_Kumar_February2026[[#This Row],[Discount(%)]],0)</f>
        <v>0</v>
      </c>
      <c r="S152" s="2">
        <f>Data_Analyst_Intern_Nikhil_Kumar_February2026[[#This Row],[Total]]-Data_Analyst_Intern_Nikhil_Kumar_February2026[[#This Row],[Discount Amount]]</f>
        <v>2999</v>
      </c>
      <c r="T152" t="s">
        <v>44</v>
      </c>
      <c r="U152" t="s">
        <v>31</v>
      </c>
      <c r="V152" t="s">
        <v>103</v>
      </c>
      <c r="W152" t="s">
        <v>104</v>
      </c>
      <c r="X152" t="s">
        <v>46</v>
      </c>
      <c r="Y152" s="1">
        <v>45615</v>
      </c>
      <c r="Z152" s="3">
        <f>Data_Analyst_Intern_Nikhil_Kumar_February2026[[#This Row],[Del Date]]-Data_Analyst_Intern_Nikhil_Kumar_February2026[[#This Row],[Order Date]]</f>
        <v>13</v>
      </c>
      <c r="AA152" s="3" t="str" cm="1">
        <f t="array" ref="AA152">_xlfn.IFS(Data_Analyst_Intern_Nikhil_Kumar_February2026[[#This Row],[Del Days]]&lt;=7,"Fast",Data_Analyst_Intern_Nikhil_Kumar_February2026[[#This Row],[Del Days]]&lt;=15,"Standard",Data_Analyst_Intern_Nikhil_Kumar_February2026[[#This Row],[Del Days]]&gt;15,"Slow")</f>
        <v>Standard</v>
      </c>
      <c r="AB152" t="s">
        <v>34</v>
      </c>
      <c r="AC152">
        <f>IF(Data_Analyst_Intern_Nikhil_Kumar_February2026[[#This Row],[Status]]="RTO", 1,0)</f>
        <v>0</v>
      </c>
      <c r="AD152">
        <f>IF(Data_Analyst_Intern_Nikhil_Kumar_February2026[[#This Row],[Status]]="Delivered",1,0)</f>
        <v>1</v>
      </c>
      <c r="AE152" t="s">
        <v>35</v>
      </c>
      <c r="AF152">
        <f>IF(AND(Data_Analyst_Intern_Nikhil_Kumar_February2026[[#This Row],[Status]]="Delivered",Data_Analyst_Intern_Nikhil_Kumar_February2026[[#This Row],[Return?]]="Yes"),1,0)</f>
        <v>0</v>
      </c>
      <c r="AG152" t="s">
        <v>29</v>
      </c>
      <c r="AI152" t="s">
        <v>36</v>
      </c>
    </row>
    <row r="153" spans="1:35" x14ac:dyDescent="0.3">
      <c r="A153" t="s">
        <v>695</v>
      </c>
      <c r="B153" s="1">
        <v>45602</v>
      </c>
      <c r="C153" s="1" t="str">
        <f>TEXT(Data_Analyst_Intern_Nikhil_Kumar_February2026[[#This Row],[Order Date]], "mmmm")</f>
        <v>November</v>
      </c>
      <c r="D153" s="23">
        <f>WEEKNUM(Data_Analyst_Intern_Nikhil_Kumar_February2026[[#This Row],[Order Date]],2)</f>
        <v>45</v>
      </c>
      <c r="E153" s="23" t="str">
        <f>TEXT(Data_Analyst_Intern_Nikhil_Kumar_February2026[[#This Row],[Order Date]],"dddd")</f>
        <v>Wednesday</v>
      </c>
      <c r="F153" s="1">
        <v>45600</v>
      </c>
      <c r="G153" s="23" t="str">
        <f>TEXT(WEEKDAY(Data_Analyst_Intern_Nikhil_Kumar_February2026[[#This Row],[Order Date]],2), "dddd")</f>
        <v>Tuesday</v>
      </c>
      <c r="H153" t="s">
        <v>696</v>
      </c>
      <c r="I153" t="s">
        <v>25</v>
      </c>
      <c r="J153" t="s">
        <v>697</v>
      </c>
      <c r="K153" t="s">
        <v>41</v>
      </c>
      <c r="L153" t="s">
        <v>698</v>
      </c>
      <c r="M153" s="2">
        <v>2799</v>
      </c>
      <c r="N153">
        <v>1</v>
      </c>
      <c r="O153" s="2">
        <v>2799</v>
      </c>
      <c r="P153" t="s">
        <v>29</v>
      </c>
      <c r="Q153">
        <v>0</v>
      </c>
      <c r="R153" s="4">
        <f>IFERROR(Data_Analyst_Intern_Nikhil_Kumar_February2026[[#This Row],[Total]]/Data_Analyst_Intern_Nikhil_Kumar_February2026[[#This Row],[Discount(%)]],0)</f>
        <v>0</v>
      </c>
      <c r="S153" s="2">
        <f>Data_Analyst_Intern_Nikhil_Kumar_February2026[[#This Row],[Total]]-Data_Analyst_Intern_Nikhil_Kumar_February2026[[#This Row],[Discount Amount]]</f>
        <v>2799</v>
      </c>
      <c r="T153" t="s">
        <v>30</v>
      </c>
      <c r="U153" t="s">
        <v>45</v>
      </c>
      <c r="V153" t="s">
        <v>113</v>
      </c>
      <c r="W153" t="s">
        <v>114</v>
      </c>
      <c r="X153" t="s">
        <v>46</v>
      </c>
      <c r="Y153" s="1">
        <v>45616</v>
      </c>
      <c r="Z153" s="3">
        <f>Data_Analyst_Intern_Nikhil_Kumar_February2026[[#This Row],[Del Date]]-Data_Analyst_Intern_Nikhil_Kumar_February2026[[#This Row],[Order Date]]</f>
        <v>14</v>
      </c>
      <c r="AA153" s="3" t="str" cm="1">
        <f t="array" ref="AA153">_xlfn.IFS(Data_Analyst_Intern_Nikhil_Kumar_February2026[[#This Row],[Del Days]]&lt;=7,"Fast",Data_Analyst_Intern_Nikhil_Kumar_February2026[[#This Row],[Del Days]]&lt;=15,"Standard",Data_Analyst_Intern_Nikhil_Kumar_February2026[[#This Row],[Del Days]]&gt;15,"Slow")</f>
        <v>Standard</v>
      </c>
      <c r="AB153" t="s">
        <v>34</v>
      </c>
      <c r="AC153">
        <f>IF(Data_Analyst_Intern_Nikhil_Kumar_February2026[[#This Row],[Status]]="RTO", 1,0)</f>
        <v>0</v>
      </c>
      <c r="AD153">
        <f>IF(Data_Analyst_Intern_Nikhil_Kumar_February2026[[#This Row],[Status]]="Delivered",1,0)</f>
        <v>1</v>
      </c>
      <c r="AE153" t="s">
        <v>47</v>
      </c>
      <c r="AF153">
        <f>IF(AND(Data_Analyst_Intern_Nikhil_Kumar_February2026[[#This Row],[Status]]="Delivered",Data_Analyst_Intern_Nikhil_Kumar_February2026[[#This Row],[Return?]]="Yes"),1,0)</f>
        <v>1</v>
      </c>
      <c r="AG153" t="s">
        <v>69</v>
      </c>
      <c r="AH153" s="1">
        <v>45644</v>
      </c>
      <c r="AI153" t="s">
        <v>49</v>
      </c>
    </row>
    <row r="154" spans="1:35" x14ac:dyDescent="0.3">
      <c r="A154" t="s">
        <v>699</v>
      </c>
      <c r="B154" s="1">
        <v>45602</v>
      </c>
      <c r="C154" s="1" t="str">
        <f>TEXT(Data_Analyst_Intern_Nikhil_Kumar_February2026[[#This Row],[Order Date]], "mmmm")</f>
        <v>November</v>
      </c>
      <c r="D154" s="23">
        <f>WEEKNUM(Data_Analyst_Intern_Nikhil_Kumar_February2026[[#This Row],[Order Date]],2)</f>
        <v>45</v>
      </c>
      <c r="E154" s="23" t="str">
        <f>TEXT(Data_Analyst_Intern_Nikhil_Kumar_February2026[[#This Row],[Order Date]],"dddd")</f>
        <v>Wednesday</v>
      </c>
      <c r="F154" s="1">
        <v>45600</v>
      </c>
      <c r="G154" s="23" t="str">
        <f>TEXT(WEEKDAY(Data_Analyst_Intern_Nikhil_Kumar_February2026[[#This Row],[Order Date]],2), "dddd")</f>
        <v>Tuesday</v>
      </c>
      <c r="H154" t="s">
        <v>700</v>
      </c>
      <c r="I154" t="s">
        <v>39</v>
      </c>
      <c r="J154" t="s">
        <v>701</v>
      </c>
      <c r="K154" t="s">
        <v>54</v>
      </c>
      <c r="L154" t="s">
        <v>702</v>
      </c>
      <c r="M154" s="2">
        <v>1699</v>
      </c>
      <c r="N154">
        <v>1</v>
      </c>
      <c r="O154" s="2">
        <v>1699</v>
      </c>
      <c r="P154" t="s">
        <v>703</v>
      </c>
      <c r="Q154">
        <v>15</v>
      </c>
      <c r="R154" s="4">
        <f>IFERROR(Data_Analyst_Intern_Nikhil_Kumar_February2026[[#This Row],[Total]]/Data_Analyst_Intern_Nikhil_Kumar_February2026[[#This Row],[Discount(%)]],0)</f>
        <v>113.26666666666667</v>
      </c>
      <c r="S154" s="2">
        <f>Data_Analyst_Intern_Nikhil_Kumar_February2026[[#This Row],[Total]]-Data_Analyst_Intern_Nikhil_Kumar_February2026[[#This Row],[Discount Amount]]</f>
        <v>1585.7333333333333</v>
      </c>
      <c r="T154" t="s">
        <v>65</v>
      </c>
      <c r="U154" t="s">
        <v>66</v>
      </c>
      <c r="V154" t="s">
        <v>57</v>
      </c>
      <c r="W154" t="s">
        <v>58</v>
      </c>
      <c r="X154" t="s">
        <v>57</v>
      </c>
      <c r="Y154" s="1">
        <v>45614</v>
      </c>
      <c r="Z154" s="3">
        <f>Data_Analyst_Intern_Nikhil_Kumar_February2026[[#This Row],[Del Date]]-Data_Analyst_Intern_Nikhil_Kumar_February2026[[#This Row],[Order Date]]</f>
        <v>12</v>
      </c>
      <c r="AA154" s="3" t="str" cm="1">
        <f t="array" ref="AA154">_xlfn.IFS(Data_Analyst_Intern_Nikhil_Kumar_February2026[[#This Row],[Del Days]]&lt;=7,"Fast",Data_Analyst_Intern_Nikhil_Kumar_February2026[[#This Row],[Del Days]]&lt;=15,"Standard",Data_Analyst_Intern_Nikhil_Kumar_February2026[[#This Row],[Del Days]]&gt;15,"Slow")</f>
        <v>Standard</v>
      </c>
      <c r="AB154" t="s">
        <v>34</v>
      </c>
      <c r="AC154">
        <f>IF(Data_Analyst_Intern_Nikhil_Kumar_February2026[[#This Row],[Status]]="RTO", 1,0)</f>
        <v>0</v>
      </c>
      <c r="AD154">
        <f>IF(Data_Analyst_Intern_Nikhil_Kumar_February2026[[#This Row],[Status]]="Delivered",1,0)</f>
        <v>1</v>
      </c>
      <c r="AE154" t="s">
        <v>35</v>
      </c>
      <c r="AF154">
        <f>IF(AND(Data_Analyst_Intern_Nikhil_Kumar_February2026[[#This Row],[Status]]="Delivered",Data_Analyst_Intern_Nikhil_Kumar_February2026[[#This Row],[Return?]]="Yes"),1,0)</f>
        <v>0</v>
      </c>
      <c r="AG154" t="s">
        <v>29</v>
      </c>
      <c r="AI154" t="s">
        <v>36</v>
      </c>
    </row>
    <row r="155" spans="1:35" x14ac:dyDescent="0.3">
      <c r="A155" t="s">
        <v>704</v>
      </c>
      <c r="B155" s="1">
        <v>45603</v>
      </c>
      <c r="C155" s="1" t="str">
        <f>TEXT(Data_Analyst_Intern_Nikhil_Kumar_February2026[[#This Row],[Order Date]], "mmmm")</f>
        <v>November</v>
      </c>
      <c r="D155" s="23">
        <f>WEEKNUM(Data_Analyst_Intern_Nikhil_Kumar_February2026[[#This Row],[Order Date]],2)</f>
        <v>45</v>
      </c>
      <c r="E155" s="23" t="str">
        <f>TEXT(Data_Analyst_Intern_Nikhil_Kumar_February2026[[#This Row],[Order Date]],"dddd")</f>
        <v>Thursday</v>
      </c>
      <c r="F155" s="1">
        <v>45600</v>
      </c>
      <c r="G155" s="23" t="str">
        <f>TEXT(WEEKDAY(Data_Analyst_Intern_Nikhil_Kumar_February2026[[#This Row],[Order Date]],2), "dddd")</f>
        <v>Wednesday</v>
      </c>
      <c r="H155" t="s">
        <v>705</v>
      </c>
      <c r="I155" t="s">
        <v>25</v>
      </c>
      <c r="J155" t="s">
        <v>706</v>
      </c>
      <c r="K155" t="s">
        <v>62</v>
      </c>
      <c r="L155" t="s">
        <v>707</v>
      </c>
      <c r="M155" s="2">
        <v>4599</v>
      </c>
      <c r="N155">
        <v>1</v>
      </c>
      <c r="O155" s="2">
        <v>4599</v>
      </c>
      <c r="P155" t="s">
        <v>29</v>
      </c>
      <c r="Q155">
        <v>0</v>
      </c>
      <c r="R155" s="4">
        <f>IFERROR(Data_Analyst_Intern_Nikhil_Kumar_February2026[[#This Row],[Total]]/Data_Analyst_Intern_Nikhil_Kumar_February2026[[#This Row],[Discount(%)]],0)</f>
        <v>0</v>
      </c>
      <c r="S155" s="2">
        <f>Data_Analyst_Intern_Nikhil_Kumar_February2026[[#This Row],[Total]]-Data_Analyst_Intern_Nikhil_Kumar_February2026[[#This Row],[Discount Amount]]</f>
        <v>4599</v>
      </c>
      <c r="T155" t="s">
        <v>44</v>
      </c>
      <c r="U155" t="s">
        <v>31</v>
      </c>
      <c r="V155" t="s">
        <v>32</v>
      </c>
      <c r="W155" t="s">
        <v>33</v>
      </c>
      <c r="X155" t="s">
        <v>32</v>
      </c>
      <c r="Y155" s="1">
        <v>45617</v>
      </c>
      <c r="Z155" s="3">
        <f>Data_Analyst_Intern_Nikhil_Kumar_February2026[[#This Row],[Del Date]]-Data_Analyst_Intern_Nikhil_Kumar_February2026[[#This Row],[Order Date]]</f>
        <v>14</v>
      </c>
      <c r="AA155" s="3" t="str" cm="1">
        <f t="array" ref="AA155">_xlfn.IFS(Data_Analyst_Intern_Nikhil_Kumar_February2026[[#This Row],[Del Days]]&lt;=7,"Fast",Data_Analyst_Intern_Nikhil_Kumar_February2026[[#This Row],[Del Days]]&lt;=15,"Standard",Data_Analyst_Intern_Nikhil_Kumar_February2026[[#This Row],[Del Days]]&gt;15,"Slow")</f>
        <v>Standard</v>
      </c>
      <c r="AB155" t="s">
        <v>34</v>
      </c>
      <c r="AC155">
        <f>IF(Data_Analyst_Intern_Nikhil_Kumar_February2026[[#This Row],[Status]]="RTO", 1,0)</f>
        <v>0</v>
      </c>
      <c r="AD155">
        <f>IF(Data_Analyst_Intern_Nikhil_Kumar_February2026[[#This Row],[Status]]="Delivered",1,0)</f>
        <v>1</v>
      </c>
      <c r="AE155" t="s">
        <v>47</v>
      </c>
      <c r="AF155">
        <f>IF(AND(Data_Analyst_Intern_Nikhil_Kumar_February2026[[#This Row],[Status]]="Delivered",Data_Analyst_Intern_Nikhil_Kumar_February2026[[#This Row],[Return?]]="Yes"),1,0)</f>
        <v>1</v>
      </c>
      <c r="AG155" t="s">
        <v>48</v>
      </c>
      <c r="AH155" s="1">
        <v>45646</v>
      </c>
      <c r="AI155" t="s">
        <v>49</v>
      </c>
    </row>
    <row r="156" spans="1:35" x14ac:dyDescent="0.3">
      <c r="A156" t="s">
        <v>708</v>
      </c>
      <c r="B156" s="1">
        <v>45603</v>
      </c>
      <c r="C156" s="1" t="str">
        <f>TEXT(Data_Analyst_Intern_Nikhil_Kumar_February2026[[#This Row],[Order Date]], "mmmm")</f>
        <v>November</v>
      </c>
      <c r="D156" s="23">
        <f>WEEKNUM(Data_Analyst_Intern_Nikhil_Kumar_February2026[[#This Row],[Order Date]],2)</f>
        <v>45</v>
      </c>
      <c r="E156" s="23" t="str">
        <f>TEXT(Data_Analyst_Intern_Nikhil_Kumar_February2026[[#This Row],[Order Date]],"dddd")</f>
        <v>Thursday</v>
      </c>
      <c r="F156" s="1">
        <v>45600</v>
      </c>
      <c r="G156" s="23" t="str">
        <f>TEXT(WEEKDAY(Data_Analyst_Intern_Nikhil_Kumar_February2026[[#This Row],[Order Date]],2), "dddd")</f>
        <v>Wednesday</v>
      </c>
      <c r="H156" t="s">
        <v>709</v>
      </c>
      <c r="I156" t="s">
        <v>25</v>
      </c>
      <c r="J156" t="s">
        <v>710</v>
      </c>
      <c r="K156" t="s">
        <v>72</v>
      </c>
      <c r="L156" t="s">
        <v>711</v>
      </c>
      <c r="M156" s="2">
        <v>899</v>
      </c>
      <c r="N156">
        <v>1</v>
      </c>
      <c r="O156" s="2">
        <v>899</v>
      </c>
      <c r="P156" t="s">
        <v>29</v>
      </c>
      <c r="Q156">
        <v>0</v>
      </c>
      <c r="R156" s="4">
        <f>IFERROR(Data_Analyst_Intern_Nikhil_Kumar_February2026[[#This Row],[Total]]/Data_Analyst_Intern_Nikhil_Kumar_February2026[[#This Row],[Discount(%)]],0)</f>
        <v>0</v>
      </c>
      <c r="S156" s="2">
        <f>Data_Analyst_Intern_Nikhil_Kumar_February2026[[#This Row],[Total]]-Data_Analyst_Intern_Nikhil_Kumar_February2026[[#This Row],[Discount Amount]]</f>
        <v>899</v>
      </c>
      <c r="T156" t="s">
        <v>56</v>
      </c>
      <c r="U156" t="s">
        <v>45</v>
      </c>
      <c r="V156" t="s">
        <v>46</v>
      </c>
      <c r="W156" t="s">
        <v>46</v>
      </c>
      <c r="X156" t="s">
        <v>46</v>
      </c>
      <c r="Y156" s="1">
        <v>45615</v>
      </c>
      <c r="Z156" s="3">
        <f>Data_Analyst_Intern_Nikhil_Kumar_February2026[[#This Row],[Del Date]]-Data_Analyst_Intern_Nikhil_Kumar_February2026[[#This Row],[Order Date]]</f>
        <v>12</v>
      </c>
      <c r="AA156" s="3" t="str" cm="1">
        <f t="array" ref="AA156">_xlfn.IFS(Data_Analyst_Intern_Nikhil_Kumar_February2026[[#This Row],[Del Days]]&lt;=7,"Fast",Data_Analyst_Intern_Nikhil_Kumar_February2026[[#This Row],[Del Days]]&lt;=15,"Standard",Data_Analyst_Intern_Nikhil_Kumar_February2026[[#This Row],[Del Days]]&gt;15,"Slow")</f>
        <v>Standard</v>
      </c>
      <c r="AB156" t="s">
        <v>34</v>
      </c>
      <c r="AC156">
        <f>IF(Data_Analyst_Intern_Nikhil_Kumar_February2026[[#This Row],[Status]]="RTO", 1,0)</f>
        <v>0</v>
      </c>
      <c r="AD156">
        <f>IF(Data_Analyst_Intern_Nikhil_Kumar_February2026[[#This Row],[Status]]="Delivered",1,0)</f>
        <v>1</v>
      </c>
      <c r="AE156" t="s">
        <v>35</v>
      </c>
      <c r="AF156">
        <f>IF(AND(Data_Analyst_Intern_Nikhil_Kumar_February2026[[#This Row],[Status]]="Delivered",Data_Analyst_Intern_Nikhil_Kumar_February2026[[#This Row],[Return?]]="Yes"),1,0)</f>
        <v>0</v>
      </c>
      <c r="AG156" t="s">
        <v>29</v>
      </c>
      <c r="AI156" t="s">
        <v>36</v>
      </c>
    </row>
    <row r="157" spans="1:35" x14ac:dyDescent="0.3">
      <c r="A157" t="s">
        <v>712</v>
      </c>
      <c r="B157" s="1">
        <v>45603</v>
      </c>
      <c r="C157" s="1" t="str">
        <f>TEXT(Data_Analyst_Intern_Nikhil_Kumar_February2026[[#This Row],[Order Date]], "mmmm")</f>
        <v>November</v>
      </c>
      <c r="D157" s="23">
        <f>WEEKNUM(Data_Analyst_Intern_Nikhil_Kumar_February2026[[#This Row],[Order Date]],2)</f>
        <v>45</v>
      </c>
      <c r="E157" s="23" t="str">
        <f>TEXT(Data_Analyst_Intern_Nikhil_Kumar_February2026[[#This Row],[Order Date]],"dddd")</f>
        <v>Thursday</v>
      </c>
      <c r="F157" s="1">
        <v>45600</v>
      </c>
      <c r="G157" s="23" t="str">
        <f>TEXT(WEEKDAY(Data_Analyst_Intern_Nikhil_Kumar_February2026[[#This Row],[Order Date]],2), "dddd")</f>
        <v>Wednesday</v>
      </c>
      <c r="H157" t="s">
        <v>713</v>
      </c>
      <c r="I157" t="s">
        <v>25</v>
      </c>
      <c r="J157" t="s">
        <v>714</v>
      </c>
      <c r="K157" t="s">
        <v>27</v>
      </c>
      <c r="L157" t="s">
        <v>715</v>
      </c>
      <c r="M157" s="2">
        <v>1799</v>
      </c>
      <c r="N157">
        <v>1</v>
      </c>
      <c r="O157" s="2">
        <v>1799</v>
      </c>
      <c r="P157" t="s">
        <v>703</v>
      </c>
      <c r="Q157">
        <v>15</v>
      </c>
      <c r="R157" s="4">
        <f>IFERROR(Data_Analyst_Intern_Nikhil_Kumar_February2026[[#This Row],[Total]]/Data_Analyst_Intern_Nikhil_Kumar_February2026[[#This Row],[Discount(%)]],0)</f>
        <v>119.93333333333334</v>
      </c>
      <c r="S157" s="2">
        <f>Data_Analyst_Intern_Nikhil_Kumar_February2026[[#This Row],[Total]]-Data_Analyst_Intern_Nikhil_Kumar_February2026[[#This Row],[Discount Amount]]</f>
        <v>1679.0666666666666</v>
      </c>
      <c r="T157" t="s">
        <v>30</v>
      </c>
      <c r="U157" t="s">
        <v>66</v>
      </c>
      <c r="V157" t="s">
        <v>119</v>
      </c>
      <c r="W157" t="s">
        <v>120</v>
      </c>
      <c r="X157" t="s">
        <v>46</v>
      </c>
      <c r="Y157" s="1">
        <v>45616</v>
      </c>
      <c r="Z157" s="3">
        <f>Data_Analyst_Intern_Nikhil_Kumar_February2026[[#This Row],[Del Date]]-Data_Analyst_Intern_Nikhil_Kumar_February2026[[#This Row],[Order Date]]</f>
        <v>13</v>
      </c>
      <c r="AA157" s="3" t="str" cm="1">
        <f t="array" ref="AA157">_xlfn.IFS(Data_Analyst_Intern_Nikhil_Kumar_February2026[[#This Row],[Del Days]]&lt;=7,"Fast",Data_Analyst_Intern_Nikhil_Kumar_February2026[[#This Row],[Del Days]]&lt;=15,"Standard",Data_Analyst_Intern_Nikhil_Kumar_February2026[[#This Row],[Del Days]]&gt;15,"Slow")</f>
        <v>Standard</v>
      </c>
      <c r="AB157" t="s">
        <v>34</v>
      </c>
      <c r="AC157">
        <f>IF(Data_Analyst_Intern_Nikhil_Kumar_February2026[[#This Row],[Status]]="RTO", 1,0)</f>
        <v>0</v>
      </c>
      <c r="AD157">
        <f>IF(Data_Analyst_Intern_Nikhil_Kumar_February2026[[#This Row],[Status]]="Delivered",1,0)</f>
        <v>1</v>
      </c>
      <c r="AE157" t="s">
        <v>47</v>
      </c>
      <c r="AF157">
        <f>IF(AND(Data_Analyst_Intern_Nikhil_Kumar_February2026[[#This Row],[Status]]="Delivered",Data_Analyst_Intern_Nikhil_Kumar_February2026[[#This Row],[Return?]]="Yes"),1,0)</f>
        <v>1</v>
      </c>
      <c r="AG157" t="s">
        <v>105</v>
      </c>
      <c r="AH157" s="1">
        <v>45645</v>
      </c>
      <c r="AI157" t="s">
        <v>49</v>
      </c>
    </row>
    <row r="158" spans="1:35" x14ac:dyDescent="0.3">
      <c r="A158" t="s">
        <v>716</v>
      </c>
      <c r="B158" s="1">
        <v>45604</v>
      </c>
      <c r="C158" s="1" t="str">
        <f>TEXT(Data_Analyst_Intern_Nikhil_Kumar_February2026[[#This Row],[Order Date]], "mmmm")</f>
        <v>November</v>
      </c>
      <c r="D158" s="23">
        <f>WEEKNUM(Data_Analyst_Intern_Nikhil_Kumar_February2026[[#This Row],[Order Date]],2)</f>
        <v>45</v>
      </c>
      <c r="E158" s="23" t="str">
        <f>TEXT(Data_Analyst_Intern_Nikhil_Kumar_February2026[[#This Row],[Order Date]],"dddd")</f>
        <v>Friday</v>
      </c>
      <c r="F158" s="1">
        <v>45600</v>
      </c>
      <c r="G158" s="23" t="str">
        <f>TEXT(WEEKDAY(Data_Analyst_Intern_Nikhil_Kumar_February2026[[#This Row],[Order Date]],2), "dddd")</f>
        <v>Thursday</v>
      </c>
      <c r="H158" t="s">
        <v>717</v>
      </c>
      <c r="I158" t="s">
        <v>25</v>
      </c>
      <c r="J158" t="s">
        <v>718</v>
      </c>
      <c r="K158" t="s">
        <v>41</v>
      </c>
      <c r="L158" t="s">
        <v>719</v>
      </c>
      <c r="M158" s="2">
        <v>2599</v>
      </c>
      <c r="N158">
        <v>1</v>
      </c>
      <c r="O158" s="2">
        <v>2599</v>
      </c>
      <c r="P158" t="s">
        <v>29</v>
      </c>
      <c r="Q158">
        <v>0</v>
      </c>
      <c r="R158" s="4">
        <f>IFERROR(Data_Analyst_Intern_Nikhil_Kumar_February2026[[#This Row],[Total]]/Data_Analyst_Intern_Nikhil_Kumar_February2026[[#This Row],[Discount(%)]],0)</f>
        <v>0</v>
      </c>
      <c r="S158" s="2">
        <f>Data_Analyst_Intern_Nikhil_Kumar_February2026[[#This Row],[Total]]-Data_Analyst_Intern_Nikhil_Kumar_February2026[[#This Row],[Discount Amount]]</f>
        <v>2599</v>
      </c>
      <c r="T158" t="s">
        <v>112</v>
      </c>
      <c r="U158" t="s">
        <v>31</v>
      </c>
      <c r="V158" t="s">
        <v>138</v>
      </c>
      <c r="W158" t="s">
        <v>114</v>
      </c>
      <c r="X158" t="s">
        <v>46</v>
      </c>
      <c r="Y158" s="1">
        <v>45618</v>
      </c>
      <c r="Z158" s="3">
        <f>Data_Analyst_Intern_Nikhil_Kumar_February2026[[#This Row],[Del Date]]-Data_Analyst_Intern_Nikhil_Kumar_February2026[[#This Row],[Order Date]]</f>
        <v>14</v>
      </c>
      <c r="AA158" s="3" t="str" cm="1">
        <f t="array" ref="AA158">_xlfn.IFS(Data_Analyst_Intern_Nikhil_Kumar_February2026[[#This Row],[Del Days]]&lt;=7,"Fast",Data_Analyst_Intern_Nikhil_Kumar_February2026[[#This Row],[Del Days]]&lt;=15,"Standard",Data_Analyst_Intern_Nikhil_Kumar_February2026[[#This Row],[Del Days]]&gt;15,"Slow")</f>
        <v>Standard</v>
      </c>
      <c r="AB158" t="s">
        <v>34</v>
      </c>
      <c r="AC158">
        <f>IF(Data_Analyst_Intern_Nikhil_Kumar_February2026[[#This Row],[Status]]="RTO", 1,0)</f>
        <v>0</v>
      </c>
      <c r="AD158">
        <f>IF(Data_Analyst_Intern_Nikhil_Kumar_February2026[[#This Row],[Status]]="Delivered",1,0)</f>
        <v>1</v>
      </c>
      <c r="AE158" t="s">
        <v>35</v>
      </c>
      <c r="AF158">
        <f>IF(AND(Data_Analyst_Intern_Nikhil_Kumar_February2026[[#This Row],[Status]]="Delivered",Data_Analyst_Intern_Nikhil_Kumar_February2026[[#This Row],[Return?]]="Yes"),1,0)</f>
        <v>0</v>
      </c>
      <c r="AG158" t="s">
        <v>29</v>
      </c>
      <c r="AI158" t="s">
        <v>36</v>
      </c>
    </row>
    <row r="159" spans="1:35" x14ac:dyDescent="0.3">
      <c r="A159" t="s">
        <v>720</v>
      </c>
      <c r="B159" s="1">
        <v>45604</v>
      </c>
      <c r="C159" s="1" t="str">
        <f>TEXT(Data_Analyst_Intern_Nikhil_Kumar_February2026[[#This Row],[Order Date]], "mmmm")</f>
        <v>November</v>
      </c>
      <c r="D159" s="23">
        <f>WEEKNUM(Data_Analyst_Intern_Nikhil_Kumar_February2026[[#This Row],[Order Date]],2)</f>
        <v>45</v>
      </c>
      <c r="E159" s="23" t="str">
        <f>TEXT(Data_Analyst_Intern_Nikhil_Kumar_February2026[[#This Row],[Order Date]],"dddd")</f>
        <v>Friday</v>
      </c>
      <c r="F159" s="1">
        <v>45600</v>
      </c>
      <c r="G159" s="23" t="str">
        <f>TEXT(WEEKDAY(Data_Analyst_Intern_Nikhil_Kumar_February2026[[#This Row],[Order Date]],2), "dddd")</f>
        <v>Thursday</v>
      </c>
      <c r="H159" t="s">
        <v>721</v>
      </c>
      <c r="I159" t="s">
        <v>39</v>
      </c>
      <c r="J159" t="s">
        <v>722</v>
      </c>
      <c r="K159" t="s">
        <v>54</v>
      </c>
      <c r="L159" t="s">
        <v>723</v>
      </c>
      <c r="M159" s="2">
        <v>1599</v>
      </c>
      <c r="N159">
        <v>1</v>
      </c>
      <c r="O159" s="2">
        <v>1599</v>
      </c>
      <c r="P159" t="s">
        <v>29</v>
      </c>
      <c r="Q159">
        <v>0</v>
      </c>
      <c r="R159" s="4">
        <f>IFERROR(Data_Analyst_Intern_Nikhil_Kumar_February2026[[#This Row],[Total]]/Data_Analyst_Intern_Nikhil_Kumar_February2026[[#This Row],[Discount(%)]],0)</f>
        <v>0</v>
      </c>
      <c r="S159" s="2">
        <f>Data_Analyst_Intern_Nikhil_Kumar_February2026[[#This Row],[Total]]-Data_Analyst_Intern_Nikhil_Kumar_February2026[[#This Row],[Discount Amount]]</f>
        <v>1599</v>
      </c>
      <c r="T159" t="s">
        <v>44</v>
      </c>
      <c r="U159" t="s">
        <v>45</v>
      </c>
      <c r="V159" t="s">
        <v>144</v>
      </c>
      <c r="W159" t="s">
        <v>145</v>
      </c>
      <c r="X159" t="s">
        <v>46</v>
      </c>
      <c r="Y159" s="1">
        <v>45616</v>
      </c>
      <c r="Z159" s="3">
        <f>Data_Analyst_Intern_Nikhil_Kumar_February2026[[#This Row],[Del Date]]-Data_Analyst_Intern_Nikhil_Kumar_February2026[[#This Row],[Order Date]]</f>
        <v>12</v>
      </c>
      <c r="AA159" s="3" t="str" cm="1">
        <f t="array" ref="AA159">_xlfn.IFS(Data_Analyst_Intern_Nikhil_Kumar_February2026[[#This Row],[Del Days]]&lt;=7,"Fast",Data_Analyst_Intern_Nikhil_Kumar_February2026[[#This Row],[Del Days]]&lt;=15,"Standard",Data_Analyst_Intern_Nikhil_Kumar_February2026[[#This Row],[Del Days]]&gt;15,"Slow")</f>
        <v>Standard</v>
      </c>
      <c r="AB159" t="s">
        <v>34</v>
      </c>
      <c r="AC159">
        <f>IF(Data_Analyst_Intern_Nikhil_Kumar_February2026[[#This Row],[Status]]="RTO", 1,0)</f>
        <v>0</v>
      </c>
      <c r="AD159">
        <f>IF(Data_Analyst_Intern_Nikhil_Kumar_February2026[[#This Row],[Status]]="Delivered",1,0)</f>
        <v>1</v>
      </c>
      <c r="AE159" t="s">
        <v>47</v>
      </c>
      <c r="AF159">
        <f>IF(AND(Data_Analyst_Intern_Nikhil_Kumar_February2026[[#This Row],[Status]]="Delivered",Data_Analyst_Intern_Nikhil_Kumar_February2026[[#This Row],[Return?]]="Yes"),1,0)</f>
        <v>1</v>
      </c>
      <c r="AG159" t="s">
        <v>80</v>
      </c>
      <c r="AH159" s="1">
        <v>45644</v>
      </c>
      <c r="AI159" t="s">
        <v>49</v>
      </c>
    </row>
    <row r="160" spans="1:35" x14ac:dyDescent="0.3">
      <c r="A160" t="s">
        <v>724</v>
      </c>
      <c r="B160" s="1">
        <v>45604</v>
      </c>
      <c r="C160" s="1" t="str">
        <f>TEXT(Data_Analyst_Intern_Nikhil_Kumar_February2026[[#This Row],[Order Date]], "mmmm")</f>
        <v>November</v>
      </c>
      <c r="D160" s="23">
        <f>WEEKNUM(Data_Analyst_Intern_Nikhil_Kumar_February2026[[#This Row],[Order Date]],2)</f>
        <v>45</v>
      </c>
      <c r="E160" s="23" t="str">
        <f>TEXT(Data_Analyst_Intern_Nikhil_Kumar_February2026[[#This Row],[Order Date]],"dddd")</f>
        <v>Friday</v>
      </c>
      <c r="F160" s="1">
        <v>45600</v>
      </c>
      <c r="G160" s="23" t="str">
        <f>TEXT(WEEKDAY(Data_Analyst_Intern_Nikhil_Kumar_February2026[[#This Row],[Order Date]],2), "dddd")</f>
        <v>Thursday</v>
      </c>
      <c r="H160" t="s">
        <v>725</v>
      </c>
      <c r="I160" t="s">
        <v>25</v>
      </c>
      <c r="J160" t="s">
        <v>726</v>
      </c>
      <c r="K160" t="s">
        <v>62</v>
      </c>
      <c r="L160" t="s">
        <v>727</v>
      </c>
      <c r="M160" s="2">
        <v>5299</v>
      </c>
      <c r="N160">
        <v>1</v>
      </c>
      <c r="O160" s="2">
        <v>5299</v>
      </c>
      <c r="P160" t="s">
        <v>703</v>
      </c>
      <c r="Q160">
        <v>15</v>
      </c>
      <c r="R160" s="4">
        <f>IFERROR(Data_Analyst_Intern_Nikhil_Kumar_February2026[[#This Row],[Total]]/Data_Analyst_Intern_Nikhil_Kumar_February2026[[#This Row],[Discount(%)]],0)</f>
        <v>353.26666666666665</v>
      </c>
      <c r="S160" s="2">
        <f>Data_Analyst_Intern_Nikhil_Kumar_February2026[[#This Row],[Total]]-Data_Analyst_Intern_Nikhil_Kumar_February2026[[#This Row],[Discount Amount]]</f>
        <v>4945.7333333333336</v>
      </c>
      <c r="T160" t="s">
        <v>65</v>
      </c>
      <c r="U160" t="s">
        <v>66</v>
      </c>
      <c r="V160" t="s">
        <v>150</v>
      </c>
      <c r="W160" t="s">
        <v>151</v>
      </c>
      <c r="X160" t="s">
        <v>32</v>
      </c>
      <c r="Y160" s="1">
        <v>45619</v>
      </c>
      <c r="Z160" s="3">
        <f>Data_Analyst_Intern_Nikhil_Kumar_February2026[[#This Row],[Del Date]]-Data_Analyst_Intern_Nikhil_Kumar_February2026[[#This Row],[Order Date]]</f>
        <v>15</v>
      </c>
      <c r="AA160" s="3" t="str" cm="1">
        <f t="array" ref="AA160">_xlfn.IFS(Data_Analyst_Intern_Nikhil_Kumar_February2026[[#This Row],[Del Days]]&lt;=7,"Fast",Data_Analyst_Intern_Nikhil_Kumar_February2026[[#This Row],[Del Days]]&lt;=15,"Standard",Data_Analyst_Intern_Nikhil_Kumar_February2026[[#This Row],[Del Days]]&gt;15,"Slow")</f>
        <v>Standard</v>
      </c>
      <c r="AB160" t="s">
        <v>34</v>
      </c>
      <c r="AC160">
        <f>IF(Data_Analyst_Intern_Nikhil_Kumar_February2026[[#This Row],[Status]]="RTO", 1,0)</f>
        <v>0</v>
      </c>
      <c r="AD160">
        <f>IF(Data_Analyst_Intern_Nikhil_Kumar_February2026[[#This Row],[Status]]="Delivered",1,0)</f>
        <v>1</v>
      </c>
      <c r="AE160" t="s">
        <v>35</v>
      </c>
      <c r="AF160">
        <f>IF(AND(Data_Analyst_Intern_Nikhil_Kumar_February2026[[#This Row],[Status]]="Delivered",Data_Analyst_Intern_Nikhil_Kumar_February2026[[#This Row],[Return?]]="Yes"),1,0)</f>
        <v>0</v>
      </c>
      <c r="AG160" t="s">
        <v>29</v>
      </c>
      <c r="AI160" t="s">
        <v>36</v>
      </c>
    </row>
    <row r="161" spans="1:35" x14ac:dyDescent="0.3">
      <c r="A161" t="s">
        <v>728</v>
      </c>
      <c r="B161" s="1">
        <v>45605</v>
      </c>
      <c r="C161" s="1" t="str">
        <f>TEXT(Data_Analyst_Intern_Nikhil_Kumar_February2026[[#This Row],[Order Date]], "mmmm")</f>
        <v>November</v>
      </c>
      <c r="D161" s="23">
        <f>WEEKNUM(Data_Analyst_Intern_Nikhil_Kumar_February2026[[#This Row],[Order Date]],2)</f>
        <v>45</v>
      </c>
      <c r="E161" s="23" t="str">
        <f>TEXT(Data_Analyst_Intern_Nikhil_Kumar_February2026[[#This Row],[Order Date]],"dddd")</f>
        <v>Saturday</v>
      </c>
      <c r="F161" s="1">
        <v>45600</v>
      </c>
      <c r="G161" s="23" t="str">
        <f>TEXT(WEEKDAY(Data_Analyst_Intern_Nikhil_Kumar_February2026[[#This Row],[Order Date]],2), "dddd")</f>
        <v>Friday</v>
      </c>
      <c r="H161" t="s">
        <v>729</v>
      </c>
      <c r="I161" t="s">
        <v>25</v>
      </c>
      <c r="J161" t="s">
        <v>730</v>
      </c>
      <c r="K161" t="s">
        <v>72</v>
      </c>
      <c r="L161" t="s">
        <v>731</v>
      </c>
      <c r="M161" s="2">
        <v>499</v>
      </c>
      <c r="N161">
        <v>3</v>
      </c>
      <c r="O161" s="2">
        <v>1497</v>
      </c>
      <c r="P161" t="s">
        <v>29</v>
      </c>
      <c r="Q161">
        <v>0</v>
      </c>
      <c r="R161" s="4">
        <f>IFERROR(Data_Analyst_Intern_Nikhil_Kumar_February2026[[#This Row],[Total]]/Data_Analyst_Intern_Nikhil_Kumar_February2026[[#This Row],[Discount(%)]],0)</f>
        <v>0</v>
      </c>
      <c r="S161" s="2">
        <f>Data_Analyst_Intern_Nikhil_Kumar_February2026[[#This Row],[Total]]-Data_Analyst_Intern_Nikhil_Kumar_February2026[[#This Row],[Discount Amount]]</f>
        <v>1497</v>
      </c>
      <c r="T161" t="s">
        <v>30</v>
      </c>
      <c r="U161" t="s">
        <v>31</v>
      </c>
      <c r="V161" t="s">
        <v>156</v>
      </c>
      <c r="W161" t="s">
        <v>98</v>
      </c>
      <c r="X161" t="s">
        <v>32</v>
      </c>
      <c r="Y161" s="1">
        <v>45617</v>
      </c>
      <c r="Z161" s="3">
        <f>Data_Analyst_Intern_Nikhil_Kumar_February2026[[#This Row],[Del Date]]-Data_Analyst_Intern_Nikhil_Kumar_February2026[[#This Row],[Order Date]]</f>
        <v>12</v>
      </c>
      <c r="AA161" s="3" t="str" cm="1">
        <f t="array" ref="AA161">_xlfn.IFS(Data_Analyst_Intern_Nikhil_Kumar_February2026[[#This Row],[Del Days]]&lt;=7,"Fast",Data_Analyst_Intern_Nikhil_Kumar_February2026[[#This Row],[Del Days]]&lt;=15,"Standard",Data_Analyst_Intern_Nikhil_Kumar_February2026[[#This Row],[Del Days]]&gt;15,"Slow")</f>
        <v>Standard</v>
      </c>
      <c r="AB161" t="s">
        <v>34</v>
      </c>
      <c r="AC161">
        <f>IF(Data_Analyst_Intern_Nikhil_Kumar_February2026[[#This Row],[Status]]="RTO", 1,0)</f>
        <v>0</v>
      </c>
      <c r="AD161">
        <f>IF(Data_Analyst_Intern_Nikhil_Kumar_February2026[[#This Row],[Status]]="Delivered",1,0)</f>
        <v>1</v>
      </c>
      <c r="AE161" t="s">
        <v>47</v>
      </c>
      <c r="AF161">
        <f>IF(AND(Data_Analyst_Intern_Nikhil_Kumar_February2026[[#This Row],[Status]]="Delivered",Data_Analyst_Intern_Nikhil_Kumar_February2026[[#This Row],[Return?]]="Yes"),1,0)</f>
        <v>1</v>
      </c>
      <c r="AG161" t="s">
        <v>139</v>
      </c>
      <c r="AH161" s="1">
        <v>45645</v>
      </c>
      <c r="AI161" t="s">
        <v>49</v>
      </c>
    </row>
    <row r="162" spans="1:35" x14ac:dyDescent="0.3">
      <c r="A162" t="s">
        <v>732</v>
      </c>
      <c r="B162" s="1">
        <v>45605</v>
      </c>
      <c r="C162" s="1" t="str">
        <f>TEXT(Data_Analyst_Intern_Nikhil_Kumar_February2026[[#This Row],[Order Date]], "mmmm")</f>
        <v>November</v>
      </c>
      <c r="D162" s="23">
        <f>WEEKNUM(Data_Analyst_Intern_Nikhil_Kumar_February2026[[#This Row],[Order Date]],2)</f>
        <v>45</v>
      </c>
      <c r="E162" s="23" t="str">
        <f>TEXT(Data_Analyst_Intern_Nikhil_Kumar_February2026[[#This Row],[Order Date]],"dddd")</f>
        <v>Saturday</v>
      </c>
      <c r="F162" s="1">
        <v>45600</v>
      </c>
      <c r="G162" s="23" t="str">
        <f>TEXT(WEEKDAY(Data_Analyst_Intern_Nikhil_Kumar_February2026[[#This Row],[Order Date]],2), "dddd")</f>
        <v>Friday</v>
      </c>
      <c r="H162" t="s">
        <v>733</v>
      </c>
      <c r="I162" t="s">
        <v>25</v>
      </c>
      <c r="J162" t="s">
        <v>734</v>
      </c>
      <c r="K162" t="s">
        <v>27</v>
      </c>
      <c r="L162" t="s">
        <v>735</v>
      </c>
      <c r="M162" s="2">
        <v>2099</v>
      </c>
      <c r="N162">
        <v>1</v>
      </c>
      <c r="O162" s="2">
        <v>2099</v>
      </c>
      <c r="P162" t="s">
        <v>29</v>
      </c>
      <c r="Q162">
        <v>0</v>
      </c>
      <c r="R162" s="4">
        <f>IFERROR(Data_Analyst_Intern_Nikhil_Kumar_February2026[[#This Row],[Total]]/Data_Analyst_Intern_Nikhil_Kumar_February2026[[#This Row],[Discount(%)]],0)</f>
        <v>0</v>
      </c>
      <c r="S162" s="2">
        <f>Data_Analyst_Intern_Nikhil_Kumar_February2026[[#This Row],[Total]]-Data_Analyst_Intern_Nikhil_Kumar_February2026[[#This Row],[Discount Amount]]</f>
        <v>2099</v>
      </c>
      <c r="T162" t="s">
        <v>56</v>
      </c>
      <c r="U162" t="s">
        <v>45</v>
      </c>
      <c r="V162" t="s">
        <v>161</v>
      </c>
      <c r="W162" t="s">
        <v>162</v>
      </c>
      <c r="X162" t="s">
        <v>46</v>
      </c>
      <c r="Y162" s="1"/>
      <c r="Z162" s="1">
        <f>Data_Analyst_Intern_Nikhil_Kumar_February2026[[#This Row],[Del Date]]-Data_Analyst_Intern_Nikhil_Kumar_February2026[[#This Row],[Order Date]]</f>
        <v>-45605</v>
      </c>
      <c r="AA162" s="1" t="str" cm="1">
        <f t="array" ref="AA162">_xlfn.IFS(Data_Analyst_Intern_Nikhil_Kumar_February2026[[#This Row],[Del Days]]&lt;=7,"Fast",Data_Analyst_Intern_Nikhil_Kumar_February2026[[#This Row],[Del Days]]&lt;=15,"Standard",Data_Analyst_Intern_Nikhil_Kumar_February2026[[#This Row],[Del Days]]&gt;15,"Slow")</f>
        <v>Fast</v>
      </c>
      <c r="AB162" t="s">
        <v>121</v>
      </c>
      <c r="AC162">
        <f>IF(Data_Analyst_Intern_Nikhil_Kumar_February2026[[#This Row],[Status]]="RTO", 1,0)</f>
        <v>1</v>
      </c>
      <c r="AD162">
        <f>IF(Data_Analyst_Intern_Nikhil_Kumar_February2026[[#This Row],[Status]]="Delivered",1,0)</f>
        <v>0</v>
      </c>
      <c r="AE162" t="s">
        <v>35</v>
      </c>
      <c r="AF162">
        <f>IF(AND(Data_Analyst_Intern_Nikhil_Kumar_February2026[[#This Row],[Status]]="Delivered",Data_Analyst_Intern_Nikhil_Kumar_February2026[[#This Row],[Return?]]="Yes"),1,0)</f>
        <v>0</v>
      </c>
      <c r="AG162" t="s">
        <v>29</v>
      </c>
      <c r="AI162" t="s">
        <v>36</v>
      </c>
    </row>
    <row r="163" spans="1:35" x14ac:dyDescent="0.3">
      <c r="A163" t="s">
        <v>736</v>
      </c>
      <c r="B163" s="1">
        <v>45605</v>
      </c>
      <c r="C163" s="1" t="str">
        <f>TEXT(Data_Analyst_Intern_Nikhil_Kumar_February2026[[#This Row],[Order Date]], "mmmm")</f>
        <v>November</v>
      </c>
      <c r="D163" s="23">
        <f>WEEKNUM(Data_Analyst_Intern_Nikhil_Kumar_February2026[[#This Row],[Order Date]],2)</f>
        <v>45</v>
      </c>
      <c r="E163" s="23" t="str">
        <f>TEXT(Data_Analyst_Intern_Nikhil_Kumar_February2026[[#This Row],[Order Date]],"dddd")</f>
        <v>Saturday</v>
      </c>
      <c r="F163" s="1">
        <v>45600</v>
      </c>
      <c r="G163" s="23" t="str">
        <f>TEXT(WEEKDAY(Data_Analyst_Intern_Nikhil_Kumar_February2026[[#This Row],[Order Date]],2), "dddd")</f>
        <v>Friday</v>
      </c>
      <c r="H163" t="s">
        <v>737</v>
      </c>
      <c r="I163" t="s">
        <v>25</v>
      </c>
      <c r="J163" t="s">
        <v>738</v>
      </c>
      <c r="K163" t="s">
        <v>41</v>
      </c>
      <c r="L163" t="s">
        <v>739</v>
      </c>
      <c r="M163" s="2">
        <v>2399</v>
      </c>
      <c r="N163">
        <v>1</v>
      </c>
      <c r="O163" s="2">
        <v>2399</v>
      </c>
      <c r="P163" t="s">
        <v>703</v>
      </c>
      <c r="Q163">
        <v>15</v>
      </c>
      <c r="R163" s="4">
        <f>IFERROR(Data_Analyst_Intern_Nikhil_Kumar_February2026[[#This Row],[Total]]/Data_Analyst_Intern_Nikhil_Kumar_February2026[[#This Row],[Discount(%)]],0)</f>
        <v>159.93333333333334</v>
      </c>
      <c r="S163" s="2">
        <f>Data_Analyst_Intern_Nikhil_Kumar_February2026[[#This Row],[Total]]-Data_Analyst_Intern_Nikhil_Kumar_February2026[[#This Row],[Discount Amount]]</f>
        <v>2239.0666666666666</v>
      </c>
      <c r="T163" t="s">
        <v>44</v>
      </c>
      <c r="U163" t="s">
        <v>66</v>
      </c>
      <c r="V163" t="s">
        <v>167</v>
      </c>
      <c r="W163" t="s">
        <v>151</v>
      </c>
      <c r="X163" t="s">
        <v>32</v>
      </c>
      <c r="Y163" s="1">
        <v>45620</v>
      </c>
      <c r="Z163" s="3">
        <f>Data_Analyst_Intern_Nikhil_Kumar_February2026[[#This Row],[Del Date]]-Data_Analyst_Intern_Nikhil_Kumar_February2026[[#This Row],[Order Date]]</f>
        <v>15</v>
      </c>
      <c r="AA163" s="3" t="str" cm="1">
        <f t="array" ref="AA163">_xlfn.IFS(Data_Analyst_Intern_Nikhil_Kumar_February2026[[#This Row],[Del Days]]&lt;=7,"Fast",Data_Analyst_Intern_Nikhil_Kumar_February2026[[#This Row],[Del Days]]&lt;=15,"Standard",Data_Analyst_Intern_Nikhil_Kumar_February2026[[#This Row],[Del Days]]&gt;15,"Slow")</f>
        <v>Standard</v>
      </c>
      <c r="AB163" t="s">
        <v>34</v>
      </c>
      <c r="AC163">
        <f>IF(Data_Analyst_Intern_Nikhil_Kumar_February2026[[#This Row],[Status]]="RTO", 1,0)</f>
        <v>0</v>
      </c>
      <c r="AD163">
        <f>IF(Data_Analyst_Intern_Nikhil_Kumar_February2026[[#This Row],[Status]]="Delivered",1,0)</f>
        <v>1</v>
      </c>
      <c r="AE163" t="s">
        <v>47</v>
      </c>
      <c r="AF163">
        <f>IF(AND(Data_Analyst_Intern_Nikhil_Kumar_February2026[[#This Row],[Status]]="Delivered",Data_Analyst_Intern_Nikhil_Kumar_February2026[[#This Row],[Return?]]="Yes"),1,0)</f>
        <v>1</v>
      </c>
      <c r="AG163" t="s">
        <v>48</v>
      </c>
      <c r="AH163" s="1">
        <v>45648</v>
      </c>
      <c r="AI163" t="s">
        <v>49</v>
      </c>
    </row>
    <row r="164" spans="1:35" x14ac:dyDescent="0.3">
      <c r="A164" t="s">
        <v>740</v>
      </c>
      <c r="B164" s="1">
        <v>45606</v>
      </c>
      <c r="C164" s="1" t="str">
        <f>TEXT(Data_Analyst_Intern_Nikhil_Kumar_February2026[[#This Row],[Order Date]], "mmmm")</f>
        <v>November</v>
      </c>
      <c r="D164" s="23">
        <f>WEEKNUM(Data_Analyst_Intern_Nikhil_Kumar_February2026[[#This Row],[Order Date]],2)</f>
        <v>45</v>
      </c>
      <c r="E164" s="23" t="str">
        <f>TEXT(Data_Analyst_Intern_Nikhil_Kumar_February2026[[#This Row],[Order Date]],"dddd")</f>
        <v>Sunday</v>
      </c>
      <c r="F164" s="1">
        <v>45600</v>
      </c>
      <c r="G164" s="23" t="str">
        <f>TEXT(WEEKDAY(Data_Analyst_Intern_Nikhil_Kumar_February2026[[#This Row],[Order Date]],2), "dddd")</f>
        <v>Saturday</v>
      </c>
      <c r="H164" t="s">
        <v>741</v>
      </c>
      <c r="I164" t="s">
        <v>39</v>
      </c>
      <c r="J164" t="s">
        <v>742</v>
      </c>
      <c r="K164" t="s">
        <v>54</v>
      </c>
      <c r="L164" t="s">
        <v>743</v>
      </c>
      <c r="M164" s="2">
        <v>1799</v>
      </c>
      <c r="N164">
        <v>1</v>
      </c>
      <c r="O164" s="2">
        <v>1799</v>
      </c>
      <c r="P164" t="s">
        <v>29</v>
      </c>
      <c r="Q164">
        <v>0</v>
      </c>
      <c r="R164" s="4">
        <f>IFERROR(Data_Analyst_Intern_Nikhil_Kumar_February2026[[#This Row],[Total]]/Data_Analyst_Intern_Nikhil_Kumar_February2026[[#This Row],[Discount(%)]],0)</f>
        <v>0</v>
      </c>
      <c r="S164" s="2">
        <f>Data_Analyst_Intern_Nikhil_Kumar_February2026[[#This Row],[Total]]-Data_Analyst_Intern_Nikhil_Kumar_February2026[[#This Row],[Discount Amount]]</f>
        <v>1799</v>
      </c>
      <c r="T164" t="s">
        <v>112</v>
      </c>
      <c r="U164" t="s">
        <v>31</v>
      </c>
      <c r="V164" t="s">
        <v>172</v>
      </c>
      <c r="W164" t="s">
        <v>33</v>
      </c>
      <c r="X164" t="s">
        <v>32</v>
      </c>
      <c r="Y164" s="1">
        <v>45618</v>
      </c>
      <c r="Z164" s="3">
        <f>Data_Analyst_Intern_Nikhil_Kumar_February2026[[#This Row],[Del Date]]-Data_Analyst_Intern_Nikhil_Kumar_February2026[[#This Row],[Order Date]]</f>
        <v>12</v>
      </c>
      <c r="AA164" s="3" t="str" cm="1">
        <f t="array" ref="AA164">_xlfn.IFS(Data_Analyst_Intern_Nikhil_Kumar_February2026[[#This Row],[Del Days]]&lt;=7,"Fast",Data_Analyst_Intern_Nikhil_Kumar_February2026[[#This Row],[Del Days]]&lt;=15,"Standard",Data_Analyst_Intern_Nikhil_Kumar_February2026[[#This Row],[Del Days]]&gt;15,"Slow")</f>
        <v>Standard</v>
      </c>
      <c r="AB164" t="s">
        <v>34</v>
      </c>
      <c r="AC164">
        <f>IF(Data_Analyst_Intern_Nikhil_Kumar_February2026[[#This Row],[Status]]="RTO", 1,0)</f>
        <v>0</v>
      </c>
      <c r="AD164">
        <f>IF(Data_Analyst_Intern_Nikhil_Kumar_February2026[[#This Row],[Status]]="Delivered",1,0)</f>
        <v>1</v>
      </c>
      <c r="AE164" t="s">
        <v>35</v>
      </c>
      <c r="AF164">
        <f>IF(AND(Data_Analyst_Intern_Nikhil_Kumar_February2026[[#This Row],[Status]]="Delivered",Data_Analyst_Intern_Nikhil_Kumar_February2026[[#This Row],[Return?]]="Yes"),1,0)</f>
        <v>0</v>
      </c>
      <c r="AG164" t="s">
        <v>29</v>
      </c>
      <c r="AI164" t="s">
        <v>36</v>
      </c>
    </row>
    <row r="165" spans="1:35" x14ac:dyDescent="0.3">
      <c r="A165" t="s">
        <v>744</v>
      </c>
      <c r="B165" s="1">
        <v>45575</v>
      </c>
      <c r="C165" s="1" t="str">
        <f>TEXT(Data_Analyst_Intern_Nikhil_Kumar_February2026[[#This Row],[Order Date]], "mmmm")</f>
        <v>October</v>
      </c>
      <c r="D165" s="23">
        <f>WEEKNUM(Data_Analyst_Intern_Nikhil_Kumar_February2026[[#This Row],[Order Date]],2)</f>
        <v>41</v>
      </c>
      <c r="E165" s="23" t="str">
        <f>TEXT(Data_Analyst_Intern_Nikhil_Kumar_February2026[[#This Row],[Order Date]],"dddd")</f>
        <v>Thursday</v>
      </c>
      <c r="F165" s="1">
        <v>45572</v>
      </c>
      <c r="G165" s="23" t="str">
        <f>TEXT(WEEKDAY(Data_Analyst_Intern_Nikhil_Kumar_February2026[[#This Row],[Order Date]],2), "dddd")</f>
        <v>Wednesday</v>
      </c>
      <c r="H165" t="s">
        <v>745</v>
      </c>
      <c r="I165" t="s">
        <v>25</v>
      </c>
      <c r="J165" t="s">
        <v>746</v>
      </c>
      <c r="K165" t="s">
        <v>62</v>
      </c>
      <c r="L165" t="s">
        <v>747</v>
      </c>
      <c r="M165" s="2">
        <v>4199</v>
      </c>
      <c r="N165">
        <v>1</v>
      </c>
      <c r="O165" s="2">
        <v>4199</v>
      </c>
      <c r="P165" t="s">
        <v>29</v>
      </c>
      <c r="Q165">
        <v>0</v>
      </c>
      <c r="R165" s="4">
        <f>IFERROR(Data_Analyst_Intern_Nikhil_Kumar_February2026[[#This Row],[Total]]/Data_Analyst_Intern_Nikhil_Kumar_February2026[[#This Row],[Discount(%)]],0)</f>
        <v>0</v>
      </c>
      <c r="S165" s="2">
        <f>Data_Analyst_Intern_Nikhil_Kumar_February2026[[#This Row],[Total]]-Data_Analyst_Intern_Nikhil_Kumar_February2026[[#This Row],[Discount Amount]]</f>
        <v>4199</v>
      </c>
      <c r="T165" t="s">
        <v>30</v>
      </c>
      <c r="U165" t="s">
        <v>45</v>
      </c>
      <c r="V165" t="s">
        <v>177</v>
      </c>
      <c r="W165" t="s">
        <v>68</v>
      </c>
      <c r="X165" t="s">
        <v>57</v>
      </c>
      <c r="Y165" s="1">
        <v>45621</v>
      </c>
      <c r="Z165" s="3">
        <f>Data_Analyst_Intern_Nikhil_Kumar_February2026[[#This Row],[Del Date]]-Data_Analyst_Intern_Nikhil_Kumar_February2026[[#This Row],[Order Date]]</f>
        <v>46</v>
      </c>
      <c r="AA165" s="3" t="str" cm="1">
        <f t="array" ref="AA165">_xlfn.IFS(Data_Analyst_Intern_Nikhil_Kumar_February2026[[#This Row],[Del Days]]&lt;=7,"Fast",Data_Analyst_Intern_Nikhil_Kumar_February2026[[#This Row],[Del Days]]&lt;=15,"Standard",Data_Analyst_Intern_Nikhil_Kumar_February2026[[#This Row],[Del Days]]&gt;15,"Slow")</f>
        <v>Slow</v>
      </c>
      <c r="AB165" t="s">
        <v>34</v>
      </c>
      <c r="AC165">
        <f>IF(Data_Analyst_Intern_Nikhil_Kumar_February2026[[#This Row],[Status]]="RTO", 1,0)</f>
        <v>0</v>
      </c>
      <c r="AD165">
        <f>IF(Data_Analyst_Intern_Nikhil_Kumar_February2026[[#This Row],[Status]]="Delivered",1,0)</f>
        <v>1</v>
      </c>
      <c r="AE165" t="s">
        <v>47</v>
      </c>
      <c r="AF165">
        <f>IF(AND(Data_Analyst_Intern_Nikhil_Kumar_February2026[[#This Row],[Status]]="Delivered",Data_Analyst_Intern_Nikhil_Kumar_February2026[[#This Row],[Return?]]="Yes"),1,0)</f>
        <v>1</v>
      </c>
      <c r="AG165" t="s">
        <v>69</v>
      </c>
      <c r="AH165" s="1">
        <v>45650</v>
      </c>
      <c r="AI165" t="s">
        <v>49</v>
      </c>
    </row>
    <row r="166" spans="1:35" x14ac:dyDescent="0.3">
      <c r="A166" t="s">
        <v>748</v>
      </c>
      <c r="B166" s="1">
        <v>45606</v>
      </c>
      <c r="C166" s="1" t="str">
        <f>TEXT(Data_Analyst_Intern_Nikhil_Kumar_February2026[[#This Row],[Order Date]], "mmmm")</f>
        <v>November</v>
      </c>
      <c r="D166" s="23">
        <f>WEEKNUM(Data_Analyst_Intern_Nikhil_Kumar_February2026[[#This Row],[Order Date]],2)</f>
        <v>45</v>
      </c>
      <c r="E166" s="23" t="str">
        <f>TEXT(Data_Analyst_Intern_Nikhil_Kumar_February2026[[#This Row],[Order Date]],"dddd")</f>
        <v>Sunday</v>
      </c>
      <c r="F166" s="1">
        <v>45600</v>
      </c>
      <c r="G166" s="23" t="str">
        <f>TEXT(WEEKDAY(Data_Analyst_Intern_Nikhil_Kumar_February2026[[#This Row],[Order Date]],2), "dddd")</f>
        <v>Saturday</v>
      </c>
      <c r="H166" t="s">
        <v>749</v>
      </c>
      <c r="I166" t="s">
        <v>25</v>
      </c>
      <c r="J166" t="s">
        <v>750</v>
      </c>
      <c r="K166" t="s">
        <v>72</v>
      </c>
      <c r="L166" t="s">
        <v>751</v>
      </c>
      <c r="M166" s="2">
        <v>699</v>
      </c>
      <c r="N166">
        <v>2</v>
      </c>
      <c r="O166" s="2">
        <v>1398</v>
      </c>
      <c r="P166" t="s">
        <v>29</v>
      </c>
      <c r="Q166">
        <v>0</v>
      </c>
      <c r="R166" s="4">
        <f>IFERROR(Data_Analyst_Intern_Nikhil_Kumar_February2026[[#This Row],[Total]]/Data_Analyst_Intern_Nikhil_Kumar_February2026[[#This Row],[Discount(%)]],0)</f>
        <v>0</v>
      </c>
      <c r="S166" s="2">
        <f>Data_Analyst_Intern_Nikhil_Kumar_February2026[[#This Row],[Total]]-Data_Analyst_Intern_Nikhil_Kumar_February2026[[#This Row],[Discount Amount]]</f>
        <v>1398</v>
      </c>
      <c r="T166" t="s">
        <v>65</v>
      </c>
      <c r="U166" t="s">
        <v>66</v>
      </c>
      <c r="V166" t="s">
        <v>182</v>
      </c>
      <c r="W166" t="s">
        <v>183</v>
      </c>
      <c r="X166" t="s">
        <v>57</v>
      </c>
      <c r="Y166" s="1">
        <v>45619</v>
      </c>
      <c r="Z166" s="3">
        <f>Data_Analyst_Intern_Nikhil_Kumar_February2026[[#This Row],[Del Date]]-Data_Analyst_Intern_Nikhil_Kumar_February2026[[#This Row],[Order Date]]</f>
        <v>13</v>
      </c>
      <c r="AA166" s="3" t="str" cm="1">
        <f t="array" ref="AA166">_xlfn.IFS(Data_Analyst_Intern_Nikhil_Kumar_February2026[[#This Row],[Del Days]]&lt;=7,"Fast",Data_Analyst_Intern_Nikhil_Kumar_February2026[[#This Row],[Del Days]]&lt;=15,"Standard",Data_Analyst_Intern_Nikhil_Kumar_February2026[[#This Row],[Del Days]]&gt;15,"Slow")</f>
        <v>Standard</v>
      </c>
      <c r="AB166" t="s">
        <v>34</v>
      </c>
      <c r="AC166">
        <f>IF(Data_Analyst_Intern_Nikhil_Kumar_February2026[[#This Row],[Status]]="RTO", 1,0)</f>
        <v>0</v>
      </c>
      <c r="AD166">
        <f>IF(Data_Analyst_Intern_Nikhil_Kumar_February2026[[#This Row],[Status]]="Delivered",1,0)</f>
        <v>1</v>
      </c>
      <c r="AE166" t="s">
        <v>35</v>
      </c>
      <c r="AF166">
        <f>IF(AND(Data_Analyst_Intern_Nikhil_Kumar_February2026[[#This Row],[Status]]="Delivered",Data_Analyst_Intern_Nikhil_Kumar_February2026[[#This Row],[Return?]]="Yes"),1,0)</f>
        <v>0</v>
      </c>
      <c r="AG166" t="s">
        <v>29</v>
      </c>
      <c r="AI166" t="s">
        <v>36</v>
      </c>
    </row>
    <row r="167" spans="1:35" x14ac:dyDescent="0.3">
      <c r="A167" t="s">
        <v>752</v>
      </c>
      <c r="B167" s="1">
        <v>45607</v>
      </c>
      <c r="C167" s="1" t="str">
        <f>TEXT(Data_Analyst_Intern_Nikhil_Kumar_February2026[[#This Row],[Order Date]], "mmmm")</f>
        <v>November</v>
      </c>
      <c r="D167" s="23">
        <f>WEEKNUM(Data_Analyst_Intern_Nikhil_Kumar_February2026[[#This Row],[Order Date]],2)</f>
        <v>46</v>
      </c>
      <c r="E167" s="23" t="str">
        <f>TEXT(Data_Analyst_Intern_Nikhil_Kumar_February2026[[#This Row],[Order Date]],"dddd")</f>
        <v>Monday</v>
      </c>
      <c r="F167" s="1">
        <v>45607</v>
      </c>
      <c r="G167" s="23" t="str">
        <f>TEXT(WEEKDAY(Data_Analyst_Intern_Nikhil_Kumar_February2026[[#This Row],[Order Date]],2), "dddd")</f>
        <v>Sunday</v>
      </c>
      <c r="H167" t="s">
        <v>753</v>
      </c>
      <c r="I167" t="s">
        <v>25</v>
      </c>
      <c r="J167" t="s">
        <v>499</v>
      </c>
      <c r="K167" t="s">
        <v>27</v>
      </c>
      <c r="L167" t="s">
        <v>754</v>
      </c>
      <c r="M167" s="2">
        <v>1599</v>
      </c>
      <c r="N167">
        <v>1</v>
      </c>
      <c r="O167" s="2">
        <v>1599</v>
      </c>
      <c r="P167" t="s">
        <v>703</v>
      </c>
      <c r="Q167">
        <v>15</v>
      </c>
      <c r="R167" s="4">
        <f>IFERROR(Data_Analyst_Intern_Nikhil_Kumar_February2026[[#This Row],[Total]]/Data_Analyst_Intern_Nikhil_Kumar_February2026[[#This Row],[Discount(%)]],0)</f>
        <v>106.6</v>
      </c>
      <c r="S167" s="2">
        <f>Data_Analyst_Intern_Nikhil_Kumar_February2026[[#This Row],[Total]]-Data_Analyst_Intern_Nikhil_Kumar_February2026[[#This Row],[Discount Amount]]</f>
        <v>1492.4</v>
      </c>
      <c r="T167" t="s">
        <v>44</v>
      </c>
      <c r="U167" t="s">
        <v>31</v>
      </c>
      <c r="V167" t="s">
        <v>188</v>
      </c>
      <c r="W167" t="s">
        <v>189</v>
      </c>
      <c r="X167" t="s">
        <v>57</v>
      </c>
      <c r="Y167" s="1">
        <v>45620</v>
      </c>
      <c r="Z167" s="3">
        <f>Data_Analyst_Intern_Nikhil_Kumar_February2026[[#This Row],[Del Date]]-Data_Analyst_Intern_Nikhil_Kumar_February2026[[#This Row],[Order Date]]</f>
        <v>13</v>
      </c>
      <c r="AA167" s="3" t="str" cm="1">
        <f t="array" ref="AA167">_xlfn.IFS(Data_Analyst_Intern_Nikhil_Kumar_February2026[[#This Row],[Del Days]]&lt;=7,"Fast",Data_Analyst_Intern_Nikhil_Kumar_February2026[[#This Row],[Del Days]]&lt;=15,"Standard",Data_Analyst_Intern_Nikhil_Kumar_February2026[[#This Row],[Del Days]]&gt;15,"Slow")</f>
        <v>Standard</v>
      </c>
      <c r="AB167" t="s">
        <v>34</v>
      </c>
      <c r="AC167">
        <f>IF(Data_Analyst_Intern_Nikhil_Kumar_February2026[[#This Row],[Status]]="RTO", 1,0)</f>
        <v>0</v>
      </c>
      <c r="AD167">
        <f>IF(Data_Analyst_Intern_Nikhil_Kumar_February2026[[#This Row],[Status]]="Delivered",1,0)</f>
        <v>1</v>
      </c>
      <c r="AE167" t="s">
        <v>47</v>
      </c>
      <c r="AF167">
        <f>IF(AND(Data_Analyst_Intern_Nikhil_Kumar_February2026[[#This Row],[Status]]="Delivered",Data_Analyst_Intern_Nikhil_Kumar_February2026[[#This Row],[Return?]]="Yes"),1,0)</f>
        <v>1</v>
      </c>
      <c r="AG167" t="s">
        <v>48</v>
      </c>
      <c r="AH167" s="1">
        <v>45649</v>
      </c>
      <c r="AI167" t="s">
        <v>49</v>
      </c>
    </row>
    <row r="168" spans="1:35" x14ac:dyDescent="0.3">
      <c r="A168" t="s">
        <v>755</v>
      </c>
      <c r="B168" s="1">
        <v>45607</v>
      </c>
      <c r="C168" s="1" t="str">
        <f>TEXT(Data_Analyst_Intern_Nikhil_Kumar_February2026[[#This Row],[Order Date]], "mmmm")</f>
        <v>November</v>
      </c>
      <c r="D168" s="23">
        <f>WEEKNUM(Data_Analyst_Intern_Nikhil_Kumar_February2026[[#This Row],[Order Date]],2)</f>
        <v>46</v>
      </c>
      <c r="E168" s="23" t="str">
        <f>TEXT(Data_Analyst_Intern_Nikhil_Kumar_February2026[[#This Row],[Order Date]],"dddd")</f>
        <v>Monday</v>
      </c>
      <c r="F168" s="1">
        <v>45607</v>
      </c>
      <c r="G168" s="23" t="str">
        <f>TEXT(WEEKDAY(Data_Analyst_Intern_Nikhil_Kumar_February2026[[#This Row],[Order Date]],2), "dddd")</f>
        <v>Sunday</v>
      </c>
      <c r="H168" t="s">
        <v>756</v>
      </c>
      <c r="I168" t="s">
        <v>25</v>
      </c>
      <c r="J168" t="s">
        <v>757</v>
      </c>
      <c r="K168" t="s">
        <v>41</v>
      </c>
      <c r="L168" t="s">
        <v>758</v>
      </c>
      <c r="M168" s="2">
        <v>2899</v>
      </c>
      <c r="N168">
        <v>1</v>
      </c>
      <c r="O168" s="2">
        <v>2899</v>
      </c>
      <c r="P168" t="s">
        <v>29</v>
      </c>
      <c r="Q168">
        <v>0</v>
      </c>
      <c r="R168" s="4">
        <f>IFERROR(Data_Analyst_Intern_Nikhil_Kumar_February2026[[#This Row],[Total]]/Data_Analyst_Intern_Nikhil_Kumar_February2026[[#This Row],[Discount(%)]],0)</f>
        <v>0</v>
      </c>
      <c r="S168" s="2">
        <f>Data_Analyst_Intern_Nikhil_Kumar_February2026[[#This Row],[Total]]-Data_Analyst_Intern_Nikhil_Kumar_February2026[[#This Row],[Discount Amount]]</f>
        <v>2899</v>
      </c>
      <c r="T168" t="s">
        <v>56</v>
      </c>
      <c r="U168" t="s">
        <v>45</v>
      </c>
      <c r="V168" t="s">
        <v>194</v>
      </c>
      <c r="W168" t="s">
        <v>183</v>
      </c>
      <c r="X168" t="s">
        <v>57</v>
      </c>
      <c r="Y168" s="1">
        <v>45622</v>
      </c>
      <c r="Z168" s="3">
        <f>Data_Analyst_Intern_Nikhil_Kumar_February2026[[#This Row],[Del Date]]-Data_Analyst_Intern_Nikhil_Kumar_February2026[[#This Row],[Order Date]]</f>
        <v>15</v>
      </c>
      <c r="AA168" s="3" t="str" cm="1">
        <f t="array" ref="AA168">_xlfn.IFS(Data_Analyst_Intern_Nikhil_Kumar_February2026[[#This Row],[Del Days]]&lt;=7,"Fast",Data_Analyst_Intern_Nikhil_Kumar_February2026[[#This Row],[Del Days]]&lt;=15,"Standard",Data_Analyst_Intern_Nikhil_Kumar_February2026[[#This Row],[Del Days]]&gt;15,"Slow")</f>
        <v>Standard</v>
      </c>
      <c r="AB168" t="s">
        <v>34</v>
      </c>
      <c r="AC168">
        <f>IF(Data_Analyst_Intern_Nikhil_Kumar_February2026[[#This Row],[Status]]="RTO", 1,0)</f>
        <v>0</v>
      </c>
      <c r="AD168">
        <f>IF(Data_Analyst_Intern_Nikhil_Kumar_February2026[[#This Row],[Status]]="Delivered",1,0)</f>
        <v>1</v>
      </c>
      <c r="AE168" t="s">
        <v>47</v>
      </c>
      <c r="AF168">
        <f>IF(AND(Data_Analyst_Intern_Nikhil_Kumar_February2026[[#This Row],[Status]]="Delivered",Data_Analyst_Intern_Nikhil_Kumar_February2026[[#This Row],[Return?]]="Yes"),1,0)</f>
        <v>1</v>
      </c>
      <c r="AG168" t="s">
        <v>105</v>
      </c>
      <c r="AH168" s="1">
        <v>45651</v>
      </c>
      <c r="AI168" t="s">
        <v>49</v>
      </c>
    </row>
    <row r="169" spans="1:35" x14ac:dyDescent="0.3">
      <c r="A169" t="s">
        <v>759</v>
      </c>
      <c r="B169" s="1">
        <v>45607</v>
      </c>
      <c r="C169" s="1" t="str">
        <f>TEXT(Data_Analyst_Intern_Nikhil_Kumar_February2026[[#This Row],[Order Date]], "mmmm")</f>
        <v>November</v>
      </c>
      <c r="D169" s="23">
        <f>WEEKNUM(Data_Analyst_Intern_Nikhil_Kumar_February2026[[#This Row],[Order Date]],2)</f>
        <v>46</v>
      </c>
      <c r="E169" s="23" t="str">
        <f>TEXT(Data_Analyst_Intern_Nikhil_Kumar_February2026[[#This Row],[Order Date]],"dddd")</f>
        <v>Monday</v>
      </c>
      <c r="F169" s="1">
        <v>45607</v>
      </c>
      <c r="G169" s="23" t="str">
        <f>TEXT(WEEKDAY(Data_Analyst_Intern_Nikhil_Kumar_February2026[[#This Row],[Order Date]],2), "dddd")</f>
        <v>Sunday</v>
      </c>
      <c r="H169" t="s">
        <v>760</v>
      </c>
      <c r="I169" t="s">
        <v>39</v>
      </c>
      <c r="J169" t="s">
        <v>761</v>
      </c>
      <c r="K169" t="s">
        <v>54</v>
      </c>
      <c r="L169" t="s">
        <v>762</v>
      </c>
      <c r="M169" s="2">
        <v>2199</v>
      </c>
      <c r="N169">
        <v>1</v>
      </c>
      <c r="O169" s="2">
        <v>2199</v>
      </c>
      <c r="P169" t="s">
        <v>29</v>
      </c>
      <c r="Q169">
        <v>0</v>
      </c>
      <c r="R169" s="4">
        <f>IFERROR(Data_Analyst_Intern_Nikhil_Kumar_February2026[[#This Row],[Total]]/Data_Analyst_Intern_Nikhil_Kumar_February2026[[#This Row],[Discount(%)]],0)</f>
        <v>0</v>
      </c>
      <c r="S169" s="2">
        <f>Data_Analyst_Intern_Nikhil_Kumar_February2026[[#This Row],[Total]]-Data_Analyst_Intern_Nikhil_Kumar_February2026[[#This Row],[Discount Amount]]</f>
        <v>2199</v>
      </c>
      <c r="T169" t="s">
        <v>30</v>
      </c>
      <c r="U169" t="s">
        <v>66</v>
      </c>
      <c r="V169" t="s">
        <v>199</v>
      </c>
      <c r="W169" t="s">
        <v>58</v>
      </c>
      <c r="X169" t="s">
        <v>57</v>
      </c>
      <c r="Y169" s="1">
        <v>45620</v>
      </c>
      <c r="Z169" s="3">
        <f>Data_Analyst_Intern_Nikhil_Kumar_February2026[[#This Row],[Del Date]]-Data_Analyst_Intern_Nikhil_Kumar_February2026[[#This Row],[Order Date]]</f>
        <v>13</v>
      </c>
      <c r="AA169" s="3" t="str" cm="1">
        <f t="array" ref="AA169">_xlfn.IFS(Data_Analyst_Intern_Nikhil_Kumar_February2026[[#This Row],[Del Days]]&lt;=7,"Fast",Data_Analyst_Intern_Nikhil_Kumar_February2026[[#This Row],[Del Days]]&lt;=15,"Standard",Data_Analyst_Intern_Nikhil_Kumar_February2026[[#This Row],[Del Days]]&gt;15,"Slow")</f>
        <v>Standard</v>
      </c>
      <c r="AB169" t="s">
        <v>34</v>
      </c>
      <c r="AC169">
        <f>IF(Data_Analyst_Intern_Nikhil_Kumar_February2026[[#This Row],[Status]]="RTO", 1,0)</f>
        <v>0</v>
      </c>
      <c r="AD169">
        <f>IF(Data_Analyst_Intern_Nikhil_Kumar_February2026[[#This Row],[Status]]="Delivered",1,0)</f>
        <v>1</v>
      </c>
      <c r="AE169" t="s">
        <v>35</v>
      </c>
      <c r="AF169">
        <f>IF(AND(Data_Analyst_Intern_Nikhil_Kumar_February2026[[#This Row],[Status]]="Delivered",Data_Analyst_Intern_Nikhil_Kumar_February2026[[#This Row],[Return?]]="Yes"),1,0)</f>
        <v>0</v>
      </c>
      <c r="AG169" t="s">
        <v>29</v>
      </c>
      <c r="AI169" t="s">
        <v>36</v>
      </c>
    </row>
    <row r="170" spans="1:35" x14ac:dyDescent="0.3">
      <c r="A170" t="s">
        <v>763</v>
      </c>
      <c r="B170" s="1">
        <v>45608</v>
      </c>
      <c r="C170" s="1" t="str">
        <f>TEXT(Data_Analyst_Intern_Nikhil_Kumar_February2026[[#This Row],[Order Date]], "mmmm")</f>
        <v>November</v>
      </c>
      <c r="D170" s="23">
        <f>WEEKNUM(Data_Analyst_Intern_Nikhil_Kumar_February2026[[#This Row],[Order Date]],2)</f>
        <v>46</v>
      </c>
      <c r="E170" s="23" t="str">
        <f>TEXT(Data_Analyst_Intern_Nikhil_Kumar_February2026[[#This Row],[Order Date]],"dddd")</f>
        <v>Tuesday</v>
      </c>
      <c r="F170" s="1">
        <v>45607</v>
      </c>
      <c r="G170" s="23" t="str">
        <f>TEXT(WEEKDAY(Data_Analyst_Intern_Nikhil_Kumar_February2026[[#This Row],[Order Date]],2), "dddd")</f>
        <v>Monday</v>
      </c>
      <c r="H170" t="s">
        <v>764</v>
      </c>
      <c r="I170" t="s">
        <v>25</v>
      </c>
      <c r="J170" t="s">
        <v>765</v>
      </c>
      <c r="K170" t="s">
        <v>62</v>
      </c>
      <c r="L170" t="s">
        <v>766</v>
      </c>
      <c r="M170" s="2">
        <v>5599</v>
      </c>
      <c r="N170">
        <v>1</v>
      </c>
      <c r="O170" s="2">
        <v>5599</v>
      </c>
      <c r="P170" t="s">
        <v>29</v>
      </c>
      <c r="Q170">
        <v>0</v>
      </c>
      <c r="R170" s="4">
        <f>IFERROR(Data_Analyst_Intern_Nikhil_Kumar_February2026[[#This Row],[Total]]/Data_Analyst_Intern_Nikhil_Kumar_February2026[[#This Row],[Discount(%)]],0)</f>
        <v>0</v>
      </c>
      <c r="S170" s="2">
        <f>Data_Analyst_Intern_Nikhil_Kumar_February2026[[#This Row],[Total]]-Data_Analyst_Intern_Nikhil_Kumar_February2026[[#This Row],[Discount Amount]]</f>
        <v>5599</v>
      </c>
      <c r="T170" t="s">
        <v>44</v>
      </c>
      <c r="U170" t="s">
        <v>31</v>
      </c>
      <c r="V170" t="s">
        <v>204</v>
      </c>
      <c r="W170" t="s">
        <v>98</v>
      </c>
      <c r="X170" t="s">
        <v>32</v>
      </c>
      <c r="Y170" s="1">
        <v>45623</v>
      </c>
      <c r="Z170" s="3">
        <f>Data_Analyst_Intern_Nikhil_Kumar_February2026[[#This Row],[Del Date]]-Data_Analyst_Intern_Nikhil_Kumar_February2026[[#This Row],[Order Date]]</f>
        <v>15</v>
      </c>
      <c r="AA170" s="3" t="str" cm="1">
        <f t="array" ref="AA170">_xlfn.IFS(Data_Analyst_Intern_Nikhil_Kumar_February2026[[#This Row],[Del Days]]&lt;=7,"Fast",Data_Analyst_Intern_Nikhil_Kumar_February2026[[#This Row],[Del Days]]&lt;=15,"Standard",Data_Analyst_Intern_Nikhil_Kumar_February2026[[#This Row],[Del Days]]&gt;15,"Slow")</f>
        <v>Standard</v>
      </c>
      <c r="AB170" t="s">
        <v>34</v>
      </c>
      <c r="AC170">
        <f>IF(Data_Analyst_Intern_Nikhil_Kumar_February2026[[#This Row],[Status]]="RTO", 1,0)</f>
        <v>0</v>
      </c>
      <c r="AD170">
        <f>IF(Data_Analyst_Intern_Nikhil_Kumar_February2026[[#This Row],[Status]]="Delivered",1,0)</f>
        <v>1</v>
      </c>
      <c r="AE170" t="s">
        <v>47</v>
      </c>
      <c r="AF170">
        <f>IF(AND(Data_Analyst_Intern_Nikhil_Kumar_February2026[[#This Row],[Status]]="Delivered",Data_Analyst_Intern_Nikhil_Kumar_February2026[[#This Row],[Return?]]="Yes"),1,0)</f>
        <v>1</v>
      </c>
      <c r="AG170" t="s">
        <v>80</v>
      </c>
      <c r="AH170" s="1">
        <v>45652</v>
      </c>
      <c r="AI170" t="s">
        <v>49</v>
      </c>
    </row>
    <row r="171" spans="1:35" x14ac:dyDescent="0.3">
      <c r="A171" t="s">
        <v>767</v>
      </c>
      <c r="B171" s="1">
        <v>45608</v>
      </c>
      <c r="C171" s="1" t="str">
        <f>TEXT(Data_Analyst_Intern_Nikhil_Kumar_February2026[[#This Row],[Order Date]], "mmmm")</f>
        <v>November</v>
      </c>
      <c r="D171" s="23">
        <f>WEEKNUM(Data_Analyst_Intern_Nikhil_Kumar_February2026[[#This Row],[Order Date]],2)</f>
        <v>46</v>
      </c>
      <c r="E171" s="23" t="str">
        <f>TEXT(Data_Analyst_Intern_Nikhil_Kumar_February2026[[#This Row],[Order Date]],"dddd")</f>
        <v>Tuesday</v>
      </c>
      <c r="F171" s="1">
        <v>45607</v>
      </c>
      <c r="G171" s="23" t="str">
        <f>TEXT(WEEKDAY(Data_Analyst_Intern_Nikhil_Kumar_February2026[[#This Row],[Order Date]],2), "dddd")</f>
        <v>Monday</v>
      </c>
      <c r="H171" t="s">
        <v>768</v>
      </c>
      <c r="I171" t="s">
        <v>25</v>
      </c>
      <c r="J171" t="s">
        <v>769</v>
      </c>
      <c r="K171" t="s">
        <v>72</v>
      </c>
      <c r="L171" t="s">
        <v>770</v>
      </c>
      <c r="M171" s="2">
        <v>399</v>
      </c>
      <c r="N171">
        <v>2</v>
      </c>
      <c r="O171" s="2">
        <v>798</v>
      </c>
      <c r="P171" t="s">
        <v>703</v>
      </c>
      <c r="Q171">
        <v>15</v>
      </c>
      <c r="R171" s="4">
        <f>IFERROR(Data_Analyst_Intern_Nikhil_Kumar_February2026[[#This Row],[Total]]/Data_Analyst_Intern_Nikhil_Kumar_February2026[[#This Row],[Discount(%)]],0)</f>
        <v>53.2</v>
      </c>
      <c r="S171" s="2">
        <f>Data_Analyst_Intern_Nikhil_Kumar_February2026[[#This Row],[Total]]-Data_Analyst_Intern_Nikhil_Kumar_February2026[[#This Row],[Discount Amount]]</f>
        <v>744.8</v>
      </c>
      <c r="T171" t="s">
        <v>112</v>
      </c>
      <c r="U171" t="s">
        <v>45</v>
      </c>
      <c r="V171" t="s">
        <v>209</v>
      </c>
      <c r="W171" t="s">
        <v>98</v>
      </c>
      <c r="X171" t="s">
        <v>32</v>
      </c>
      <c r="Y171" s="1">
        <v>45621</v>
      </c>
      <c r="Z171" s="3">
        <f>Data_Analyst_Intern_Nikhil_Kumar_February2026[[#This Row],[Del Date]]-Data_Analyst_Intern_Nikhil_Kumar_February2026[[#This Row],[Order Date]]</f>
        <v>13</v>
      </c>
      <c r="AA171" s="3" t="str" cm="1">
        <f t="array" ref="AA171">_xlfn.IFS(Data_Analyst_Intern_Nikhil_Kumar_February2026[[#This Row],[Del Days]]&lt;=7,"Fast",Data_Analyst_Intern_Nikhil_Kumar_February2026[[#This Row],[Del Days]]&lt;=15,"Standard",Data_Analyst_Intern_Nikhil_Kumar_February2026[[#This Row],[Del Days]]&gt;15,"Slow")</f>
        <v>Standard</v>
      </c>
      <c r="AB171" t="s">
        <v>34</v>
      </c>
      <c r="AC171">
        <f>IF(Data_Analyst_Intern_Nikhil_Kumar_February2026[[#This Row],[Status]]="RTO", 1,0)</f>
        <v>0</v>
      </c>
      <c r="AD171">
        <f>IF(Data_Analyst_Intern_Nikhil_Kumar_February2026[[#This Row],[Status]]="Delivered",1,0)</f>
        <v>1</v>
      </c>
      <c r="AE171" t="s">
        <v>35</v>
      </c>
      <c r="AF171">
        <f>IF(AND(Data_Analyst_Intern_Nikhil_Kumar_February2026[[#This Row],[Status]]="Delivered",Data_Analyst_Intern_Nikhil_Kumar_February2026[[#This Row],[Return?]]="Yes"),1,0)</f>
        <v>0</v>
      </c>
      <c r="AG171" t="s">
        <v>29</v>
      </c>
      <c r="AI171" t="s">
        <v>36</v>
      </c>
    </row>
    <row r="172" spans="1:35" x14ac:dyDescent="0.3">
      <c r="A172" t="s">
        <v>771</v>
      </c>
      <c r="B172" s="1">
        <v>45608</v>
      </c>
      <c r="C172" s="1" t="str">
        <f>TEXT(Data_Analyst_Intern_Nikhil_Kumar_February2026[[#This Row],[Order Date]], "mmmm")</f>
        <v>November</v>
      </c>
      <c r="D172" s="23">
        <f>WEEKNUM(Data_Analyst_Intern_Nikhil_Kumar_February2026[[#This Row],[Order Date]],2)</f>
        <v>46</v>
      </c>
      <c r="E172" s="23" t="str">
        <f>TEXT(Data_Analyst_Intern_Nikhil_Kumar_February2026[[#This Row],[Order Date]],"dddd")</f>
        <v>Tuesday</v>
      </c>
      <c r="F172" s="1">
        <v>45607</v>
      </c>
      <c r="G172" s="23" t="str">
        <f>TEXT(WEEKDAY(Data_Analyst_Intern_Nikhil_Kumar_February2026[[#This Row],[Order Date]],2), "dddd")</f>
        <v>Monday</v>
      </c>
      <c r="H172" t="s">
        <v>772</v>
      </c>
      <c r="I172" t="s">
        <v>25</v>
      </c>
      <c r="J172" t="s">
        <v>773</v>
      </c>
      <c r="K172" t="s">
        <v>27</v>
      </c>
      <c r="L172" t="s">
        <v>774</v>
      </c>
      <c r="M172" s="2">
        <v>1899</v>
      </c>
      <c r="N172">
        <v>1</v>
      </c>
      <c r="O172" s="2">
        <v>1899</v>
      </c>
      <c r="P172" t="s">
        <v>29</v>
      </c>
      <c r="Q172">
        <v>0</v>
      </c>
      <c r="R172" s="4">
        <f>IFERROR(Data_Analyst_Intern_Nikhil_Kumar_February2026[[#This Row],[Total]]/Data_Analyst_Intern_Nikhil_Kumar_February2026[[#This Row],[Discount(%)]],0)</f>
        <v>0</v>
      </c>
      <c r="S172" s="2">
        <f>Data_Analyst_Intern_Nikhil_Kumar_February2026[[#This Row],[Total]]-Data_Analyst_Intern_Nikhil_Kumar_February2026[[#This Row],[Discount Amount]]</f>
        <v>1899</v>
      </c>
      <c r="T172" t="s">
        <v>65</v>
      </c>
      <c r="U172" t="s">
        <v>66</v>
      </c>
      <c r="V172" t="s">
        <v>214</v>
      </c>
      <c r="W172" t="s">
        <v>114</v>
      </c>
      <c r="X172" t="s">
        <v>46</v>
      </c>
      <c r="Y172" s="1">
        <v>45622</v>
      </c>
      <c r="Z172" s="3">
        <f>Data_Analyst_Intern_Nikhil_Kumar_February2026[[#This Row],[Del Date]]-Data_Analyst_Intern_Nikhil_Kumar_February2026[[#This Row],[Order Date]]</f>
        <v>14</v>
      </c>
      <c r="AA172" s="3" t="str" cm="1">
        <f t="array" ref="AA172">_xlfn.IFS(Data_Analyst_Intern_Nikhil_Kumar_February2026[[#This Row],[Del Days]]&lt;=7,"Fast",Data_Analyst_Intern_Nikhil_Kumar_February2026[[#This Row],[Del Days]]&lt;=15,"Standard",Data_Analyst_Intern_Nikhil_Kumar_February2026[[#This Row],[Del Days]]&gt;15,"Slow")</f>
        <v>Standard</v>
      </c>
      <c r="AB172" t="s">
        <v>34</v>
      </c>
      <c r="AC172">
        <f>IF(Data_Analyst_Intern_Nikhil_Kumar_February2026[[#This Row],[Status]]="RTO", 1,0)</f>
        <v>0</v>
      </c>
      <c r="AD172">
        <f>IF(Data_Analyst_Intern_Nikhil_Kumar_February2026[[#This Row],[Status]]="Delivered",1,0)</f>
        <v>1</v>
      </c>
      <c r="AE172" t="s">
        <v>47</v>
      </c>
      <c r="AF172">
        <f>IF(AND(Data_Analyst_Intern_Nikhil_Kumar_February2026[[#This Row],[Status]]="Delivered",Data_Analyst_Intern_Nikhil_Kumar_February2026[[#This Row],[Return?]]="Yes"),1,0)</f>
        <v>1</v>
      </c>
      <c r="AG172" t="s">
        <v>69</v>
      </c>
      <c r="AH172" s="1">
        <v>45650</v>
      </c>
      <c r="AI172" t="s">
        <v>49</v>
      </c>
    </row>
    <row r="173" spans="1:35" x14ac:dyDescent="0.3">
      <c r="A173" t="s">
        <v>775</v>
      </c>
      <c r="B173" s="1">
        <v>45609</v>
      </c>
      <c r="C173" s="1" t="str">
        <f>TEXT(Data_Analyst_Intern_Nikhil_Kumar_February2026[[#This Row],[Order Date]], "mmmm")</f>
        <v>November</v>
      </c>
      <c r="D173" s="23">
        <f>WEEKNUM(Data_Analyst_Intern_Nikhil_Kumar_February2026[[#This Row],[Order Date]],2)</f>
        <v>46</v>
      </c>
      <c r="E173" s="23" t="str">
        <f>TEXT(Data_Analyst_Intern_Nikhil_Kumar_February2026[[#This Row],[Order Date]],"dddd")</f>
        <v>Wednesday</v>
      </c>
      <c r="F173" s="1">
        <v>45607</v>
      </c>
      <c r="G173" s="23" t="str">
        <f>TEXT(WEEKDAY(Data_Analyst_Intern_Nikhil_Kumar_February2026[[#This Row],[Order Date]],2), "dddd")</f>
        <v>Tuesday</v>
      </c>
      <c r="H173" t="s">
        <v>776</v>
      </c>
      <c r="I173" t="s">
        <v>25</v>
      </c>
      <c r="J173" t="s">
        <v>777</v>
      </c>
      <c r="K173" t="s">
        <v>41</v>
      </c>
      <c r="L173" t="s">
        <v>778</v>
      </c>
      <c r="M173" s="2">
        <v>2699</v>
      </c>
      <c r="N173">
        <v>1</v>
      </c>
      <c r="O173" s="2">
        <v>2699</v>
      </c>
      <c r="P173" t="s">
        <v>29</v>
      </c>
      <c r="Q173">
        <v>0</v>
      </c>
      <c r="R173" s="4">
        <f>IFERROR(Data_Analyst_Intern_Nikhil_Kumar_February2026[[#This Row],[Total]]/Data_Analyst_Intern_Nikhil_Kumar_February2026[[#This Row],[Discount(%)]],0)</f>
        <v>0</v>
      </c>
      <c r="S173" s="2">
        <f>Data_Analyst_Intern_Nikhil_Kumar_February2026[[#This Row],[Total]]-Data_Analyst_Intern_Nikhil_Kumar_February2026[[#This Row],[Discount Amount]]</f>
        <v>2699</v>
      </c>
      <c r="T173" t="s">
        <v>30</v>
      </c>
      <c r="U173" t="s">
        <v>31</v>
      </c>
      <c r="V173" t="s">
        <v>32</v>
      </c>
      <c r="W173" t="s">
        <v>33</v>
      </c>
      <c r="X173" t="s">
        <v>32</v>
      </c>
      <c r="Y173" s="1">
        <v>45624</v>
      </c>
      <c r="Z173" s="3">
        <f>Data_Analyst_Intern_Nikhil_Kumar_February2026[[#This Row],[Del Date]]-Data_Analyst_Intern_Nikhil_Kumar_February2026[[#This Row],[Order Date]]</f>
        <v>15</v>
      </c>
      <c r="AA173" s="3" t="str" cm="1">
        <f t="array" ref="AA173">_xlfn.IFS(Data_Analyst_Intern_Nikhil_Kumar_February2026[[#This Row],[Del Days]]&lt;=7,"Fast",Data_Analyst_Intern_Nikhil_Kumar_February2026[[#This Row],[Del Days]]&lt;=15,"Standard",Data_Analyst_Intern_Nikhil_Kumar_February2026[[#This Row],[Del Days]]&gt;15,"Slow")</f>
        <v>Standard</v>
      </c>
      <c r="AB173" t="s">
        <v>34</v>
      </c>
      <c r="AC173">
        <f>IF(Data_Analyst_Intern_Nikhil_Kumar_February2026[[#This Row],[Status]]="RTO", 1,0)</f>
        <v>0</v>
      </c>
      <c r="AD173">
        <f>IF(Data_Analyst_Intern_Nikhil_Kumar_February2026[[#This Row],[Status]]="Delivered",1,0)</f>
        <v>1</v>
      </c>
      <c r="AE173" t="s">
        <v>35</v>
      </c>
      <c r="AF173">
        <f>IF(AND(Data_Analyst_Intern_Nikhil_Kumar_February2026[[#This Row],[Status]]="Delivered",Data_Analyst_Intern_Nikhil_Kumar_February2026[[#This Row],[Return?]]="Yes"),1,0)</f>
        <v>0</v>
      </c>
      <c r="AG173" t="s">
        <v>29</v>
      </c>
      <c r="AI173" t="s">
        <v>36</v>
      </c>
    </row>
    <row r="174" spans="1:35" x14ac:dyDescent="0.3">
      <c r="A174" t="s">
        <v>779</v>
      </c>
      <c r="B174" s="1">
        <v>45609</v>
      </c>
      <c r="C174" s="1" t="str">
        <f>TEXT(Data_Analyst_Intern_Nikhil_Kumar_February2026[[#This Row],[Order Date]], "mmmm")</f>
        <v>November</v>
      </c>
      <c r="D174" s="23">
        <f>WEEKNUM(Data_Analyst_Intern_Nikhil_Kumar_February2026[[#This Row],[Order Date]],2)</f>
        <v>46</v>
      </c>
      <c r="E174" s="23" t="str">
        <f>TEXT(Data_Analyst_Intern_Nikhil_Kumar_February2026[[#This Row],[Order Date]],"dddd")</f>
        <v>Wednesday</v>
      </c>
      <c r="F174" s="1">
        <v>45607</v>
      </c>
      <c r="G174" s="23" t="str">
        <f>TEXT(WEEKDAY(Data_Analyst_Intern_Nikhil_Kumar_February2026[[#This Row],[Order Date]],2), "dddd")</f>
        <v>Tuesday</v>
      </c>
      <c r="H174" t="s">
        <v>780</v>
      </c>
      <c r="I174" t="s">
        <v>39</v>
      </c>
      <c r="J174" t="s">
        <v>781</v>
      </c>
      <c r="K174" t="s">
        <v>54</v>
      </c>
      <c r="L174" t="s">
        <v>782</v>
      </c>
      <c r="M174" s="2">
        <v>2499</v>
      </c>
      <c r="N174">
        <v>1</v>
      </c>
      <c r="O174" s="2">
        <v>2499</v>
      </c>
      <c r="P174" t="s">
        <v>703</v>
      </c>
      <c r="Q174">
        <v>15</v>
      </c>
      <c r="R174" s="4">
        <f>IFERROR(Data_Analyst_Intern_Nikhil_Kumar_February2026[[#This Row],[Total]]/Data_Analyst_Intern_Nikhil_Kumar_February2026[[#This Row],[Discount(%)]],0)</f>
        <v>166.6</v>
      </c>
      <c r="S174" s="2">
        <f>Data_Analyst_Intern_Nikhil_Kumar_February2026[[#This Row],[Total]]-Data_Analyst_Intern_Nikhil_Kumar_February2026[[#This Row],[Discount Amount]]</f>
        <v>2332.4</v>
      </c>
      <c r="T174" t="s">
        <v>44</v>
      </c>
      <c r="U174" t="s">
        <v>45</v>
      </c>
      <c r="V174" t="s">
        <v>46</v>
      </c>
      <c r="W174" t="s">
        <v>46</v>
      </c>
      <c r="X174" t="s">
        <v>46</v>
      </c>
      <c r="Y174" s="1">
        <v>45622</v>
      </c>
      <c r="Z174" s="3">
        <f>Data_Analyst_Intern_Nikhil_Kumar_February2026[[#This Row],[Del Date]]-Data_Analyst_Intern_Nikhil_Kumar_February2026[[#This Row],[Order Date]]</f>
        <v>13</v>
      </c>
      <c r="AA174" s="3" t="str" cm="1">
        <f t="array" ref="AA174">_xlfn.IFS(Data_Analyst_Intern_Nikhil_Kumar_February2026[[#This Row],[Del Days]]&lt;=7,"Fast",Data_Analyst_Intern_Nikhil_Kumar_February2026[[#This Row],[Del Days]]&lt;=15,"Standard",Data_Analyst_Intern_Nikhil_Kumar_February2026[[#This Row],[Del Days]]&gt;15,"Slow")</f>
        <v>Standard</v>
      </c>
      <c r="AB174" t="s">
        <v>34</v>
      </c>
      <c r="AC174">
        <f>IF(Data_Analyst_Intern_Nikhil_Kumar_February2026[[#This Row],[Status]]="RTO", 1,0)</f>
        <v>0</v>
      </c>
      <c r="AD174">
        <f>IF(Data_Analyst_Intern_Nikhil_Kumar_February2026[[#This Row],[Status]]="Delivered",1,0)</f>
        <v>1</v>
      </c>
      <c r="AE174" t="s">
        <v>47</v>
      </c>
      <c r="AF174">
        <f>IF(AND(Data_Analyst_Intern_Nikhil_Kumar_February2026[[#This Row],[Status]]="Delivered",Data_Analyst_Intern_Nikhil_Kumar_February2026[[#This Row],[Return?]]="Yes"),1,0)</f>
        <v>1</v>
      </c>
      <c r="AG174" t="s">
        <v>48</v>
      </c>
      <c r="AH174" s="1">
        <v>45651</v>
      </c>
      <c r="AI174" t="s">
        <v>49</v>
      </c>
    </row>
    <row r="175" spans="1:35" x14ac:dyDescent="0.3">
      <c r="A175" t="s">
        <v>783</v>
      </c>
      <c r="B175" s="1">
        <v>45609</v>
      </c>
      <c r="C175" s="1" t="str">
        <f>TEXT(Data_Analyst_Intern_Nikhil_Kumar_February2026[[#This Row],[Order Date]], "mmmm")</f>
        <v>November</v>
      </c>
      <c r="D175" s="23">
        <f>WEEKNUM(Data_Analyst_Intern_Nikhil_Kumar_February2026[[#This Row],[Order Date]],2)</f>
        <v>46</v>
      </c>
      <c r="E175" s="23" t="str">
        <f>TEXT(Data_Analyst_Intern_Nikhil_Kumar_February2026[[#This Row],[Order Date]],"dddd")</f>
        <v>Wednesday</v>
      </c>
      <c r="F175" s="1">
        <v>45607</v>
      </c>
      <c r="G175" s="23" t="str">
        <f>TEXT(WEEKDAY(Data_Analyst_Intern_Nikhil_Kumar_February2026[[#This Row],[Order Date]],2), "dddd")</f>
        <v>Tuesday</v>
      </c>
      <c r="H175" t="s">
        <v>784</v>
      </c>
      <c r="I175" t="s">
        <v>25</v>
      </c>
      <c r="J175" t="s">
        <v>785</v>
      </c>
      <c r="K175" t="s">
        <v>62</v>
      </c>
      <c r="L175" t="s">
        <v>786</v>
      </c>
      <c r="M175" s="2">
        <v>6299</v>
      </c>
      <c r="N175">
        <v>1</v>
      </c>
      <c r="O175" s="2">
        <v>6299</v>
      </c>
      <c r="P175" t="s">
        <v>29</v>
      </c>
      <c r="Q175">
        <v>0</v>
      </c>
      <c r="R175" s="4">
        <f>IFERROR(Data_Analyst_Intern_Nikhil_Kumar_February2026[[#This Row],[Total]]/Data_Analyst_Intern_Nikhil_Kumar_February2026[[#This Row],[Discount(%)]],0)</f>
        <v>0</v>
      </c>
      <c r="S175" s="2">
        <f>Data_Analyst_Intern_Nikhil_Kumar_February2026[[#This Row],[Total]]-Data_Analyst_Intern_Nikhil_Kumar_February2026[[#This Row],[Discount Amount]]</f>
        <v>6299</v>
      </c>
      <c r="T175" t="s">
        <v>56</v>
      </c>
      <c r="U175" t="s">
        <v>66</v>
      </c>
      <c r="V175" t="s">
        <v>91</v>
      </c>
      <c r="W175" t="s">
        <v>92</v>
      </c>
      <c r="X175" t="s">
        <v>46</v>
      </c>
      <c r="Y175" s="1"/>
      <c r="Z175" s="1">
        <f>Data_Analyst_Intern_Nikhil_Kumar_February2026[[#This Row],[Del Date]]-Data_Analyst_Intern_Nikhil_Kumar_February2026[[#This Row],[Order Date]]</f>
        <v>-45609</v>
      </c>
      <c r="AA175" s="1" t="str" cm="1">
        <f t="array" ref="AA175">_xlfn.IFS(Data_Analyst_Intern_Nikhil_Kumar_February2026[[#This Row],[Del Days]]&lt;=7,"Fast",Data_Analyst_Intern_Nikhil_Kumar_February2026[[#This Row],[Del Days]]&lt;=15,"Standard",Data_Analyst_Intern_Nikhil_Kumar_February2026[[#This Row],[Del Days]]&gt;15,"Slow")</f>
        <v>Fast</v>
      </c>
      <c r="AB175" t="s">
        <v>121</v>
      </c>
      <c r="AC175">
        <f>IF(Data_Analyst_Intern_Nikhil_Kumar_February2026[[#This Row],[Status]]="RTO", 1,0)</f>
        <v>1</v>
      </c>
      <c r="AD175">
        <f>IF(Data_Analyst_Intern_Nikhil_Kumar_February2026[[#This Row],[Status]]="Delivered",1,0)</f>
        <v>0</v>
      </c>
      <c r="AE175" t="s">
        <v>35</v>
      </c>
      <c r="AF175">
        <f>IF(AND(Data_Analyst_Intern_Nikhil_Kumar_February2026[[#This Row],[Status]]="Delivered",Data_Analyst_Intern_Nikhil_Kumar_February2026[[#This Row],[Return?]]="Yes"),1,0)</f>
        <v>0</v>
      </c>
      <c r="AG175" t="s">
        <v>29</v>
      </c>
      <c r="AI175" t="s">
        <v>36</v>
      </c>
    </row>
    <row r="176" spans="1:35" x14ac:dyDescent="0.3">
      <c r="A176" t="s">
        <v>787</v>
      </c>
      <c r="B176" s="1">
        <v>45610</v>
      </c>
      <c r="C176" s="1" t="str">
        <f>TEXT(Data_Analyst_Intern_Nikhil_Kumar_February2026[[#This Row],[Order Date]], "mmmm")</f>
        <v>November</v>
      </c>
      <c r="D176" s="23">
        <f>WEEKNUM(Data_Analyst_Intern_Nikhil_Kumar_February2026[[#This Row],[Order Date]],2)</f>
        <v>46</v>
      </c>
      <c r="E176" s="23" t="str">
        <f>TEXT(Data_Analyst_Intern_Nikhil_Kumar_February2026[[#This Row],[Order Date]],"dddd")</f>
        <v>Thursday</v>
      </c>
      <c r="F176" s="1">
        <v>45607</v>
      </c>
      <c r="G176" s="23" t="str">
        <f>TEXT(WEEKDAY(Data_Analyst_Intern_Nikhil_Kumar_February2026[[#This Row],[Order Date]],2), "dddd")</f>
        <v>Wednesday</v>
      </c>
      <c r="H176" t="s">
        <v>788</v>
      </c>
      <c r="I176" t="s">
        <v>25</v>
      </c>
      <c r="J176" t="s">
        <v>789</v>
      </c>
      <c r="K176" t="s">
        <v>72</v>
      </c>
      <c r="L176" t="s">
        <v>790</v>
      </c>
      <c r="M176" s="2">
        <v>1599</v>
      </c>
      <c r="N176">
        <v>1</v>
      </c>
      <c r="O176" s="2">
        <v>1599</v>
      </c>
      <c r="P176" t="s">
        <v>29</v>
      </c>
      <c r="Q176">
        <v>0</v>
      </c>
      <c r="R176" s="4">
        <f>IFERROR(Data_Analyst_Intern_Nikhil_Kumar_February2026[[#This Row],[Total]]/Data_Analyst_Intern_Nikhil_Kumar_February2026[[#This Row],[Discount(%)]],0)</f>
        <v>0</v>
      </c>
      <c r="S176" s="2">
        <f>Data_Analyst_Intern_Nikhil_Kumar_February2026[[#This Row],[Total]]-Data_Analyst_Intern_Nikhil_Kumar_February2026[[#This Row],[Discount Amount]]</f>
        <v>1599</v>
      </c>
      <c r="T176" t="s">
        <v>112</v>
      </c>
      <c r="U176" t="s">
        <v>31</v>
      </c>
      <c r="V176" t="s">
        <v>67</v>
      </c>
      <c r="W176" t="s">
        <v>68</v>
      </c>
      <c r="X176" t="s">
        <v>57</v>
      </c>
      <c r="Y176" s="1">
        <v>45623</v>
      </c>
      <c r="Z176" s="3">
        <f>Data_Analyst_Intern_Nikhil_Kumar_February2026[[#This Row],[Del Date]]-Data_Analyst_Intern_Nikhil_Kumar_February2026[[#This Row],[Order Date]]</f>
        <v>13</v>
      </c>
      <c r="AA176" s="3" t="str" cm="1">
        <f t="array" ref="AA176">_xlfn.IFS(Data_Analyst_Intern_Nikhil_Kumar_February2026[[#This Row],[Del Days]]&lt;=7,"Fast",Data_Analyst_Intern_Nikhil_Kumar_February2026[[#This Row],[Del Days]]&lt;=15,"Standard",Data_Analyst_Intern_Nikhil_Kumar_February2026[[#This Row],[Del Days]]&gt;15,"Slow")</f>
        <v>Standard</v>
      </c>
      <c r="AB176" t="s">
        <v>34</v>
      </c>
      <c r="AC176">
        <f>IF(Data_Analyst_Intern_Nikhil_Kumar_February2026[[#This Row],[Status]]="RTO", 1,0)</f>
        <v>0</v>
      </c>
      <c r="AD176">
        <f>IF(Data_Analyst_Intern_Nikhil_Kumar_February2026[[#This Row],[Status]]="Delivered",1,0)</f>
        <v>1</v>
      </c>
      <c r="AE176" t="s">
        <v>47</v>
      </c>
      <c r="AF176">
        <f>IF(AND(Data_Analyst_Intern_Nikhil_Kumar_February2026[[#This Row],[Status]]="Delivered",Data_Analyst_Intern_Nikhil_Kumar_February2026[[#This Row],[Return?]]="Yes"),1,0)</f>
        <v>1</v>
      </c>
      <c r="AG176" t="s">
        <v>139</v>
      </c>
      <c r="AH176" s="1">
        <v>45652</v>
      </c>
      <c r="AI176" t="s">
        <v>49</v>
      </c>
    </row>
    <row r="177" spans="1:35" x14ac:dyDescent="0.3">
      <c r="A177" t="s">
        <v>791</v>
      </c>
      <c r="B177" s="1">
        <v>45610</v>
      </c>
      <c r="C177" s="1" t="str">
        <f>TEXT(Data_Analyst_Intern_Nikhil_Kumar_February2026[[#This Row],[Order Date]], "mmmm")</f>
        <v>November</v>
      </c>
      <c r="D177" s="23">
        <f>WEEKNUM(Data_Analyst_Intern_Nikhil_Kumar_February2026[[#This Row],[Order Date]],2)</f>
        <v>46</v>
      </c>
      <c r="E177" s="23" t="str">
        <f>TEXT(Data_Analyst_Intern_Nikhil_Kumar_February2026[[#This Row],[Order Date]],"dddd")</f>
        <v>Thursday</v>
      </c>
      <c r="F177" s="1">
        <v>45607</v>
      </c>
      <c r="G177" s="23" t="str">
        <f>TEXT(WEEKDAY(Data_Analyst_Intern_Nikhil_Kumar_February2026[[#This Row],[Order Date]],2), "dddd")</f>
        <v>Wednesday</v>
      </c>
      <c r="H177" t="s">
        <v>792</v>
      </c>
      <c r="I177" t="s">
        <v>25</v>
      </c>
      <c r="J177" t="s">
        <v>793</v>
      </c>
      <c r="K177" t="s">
        <v>27</v>
      </c>
      <c r="L177" t="s">
        <v>794</v>
      </c>
      <c r="M177" s="2">
        <v>1699</v>
      </c>
      <c r="N177">
        <v>1</v>
      </c>
      <c r="O177" s="2">
        <v>1699</v>
      </c>
      <c r="P177" t="s">
        <v>29</v>
      </c>
      <c r="Q177">
        <v>0</v>
      </c>
      <c r="R177" s="4">
        <f>IFERROR(Data_Analyst_Intern_Nikhil_Kumar_February2026[[#This Row],[Total]]/Data_Analyst_Intern_Nikhil_Kumar_February2026[[#This Row],[Discount(%)]],0)</f>
        <v>0</v>
      </c>
      <c r="S177" s="2">
        <f>Data_Analyst_Intern_Nikhil_Kumar_February2026[[#This Row],[Total]]-Data_Analyst_Intern_Nikhil_Kumar_February2026[[#This Row],[Discount Amount]]</f>
        <v>1699</v>
      </c>
      <c r="T177" t="s">
        <v>30</v>
      </c>
      <c r="U177" t="s">
        <v>45</v>
      </c>
      <c r="V177" t="s">
        <v>78</v>
      </c>
      <c r="W177" t="s">
        <v>79</v>
      </c>
      <c r="X177" t="s">
        <v>57</v>
      </c>
      <c r="Y177" s="1">
        <v>45624</v>
      </c>
      <c r="Z177" s="3">
        <f>Data_Analyst_Intern_Nikhil_Kumar_February2026[[#This Row],[Del Date]]-Data_Analyst_Intern_Nikhil_Kumar_February2026[[#This Row],[Order Date]]</f>
        <v>14</v>
      </c>
      <c r="AA177" s="3" t="str" cm="1">
        <f t="array" ref="AA177">_xlfn.IFS(Data_Analyst_Intern_Nikhil_Kumar_February2026[[#This Row],[Del Days]]&lt;=7,"Fast",Data_Analyst_Intern_Nikhil_Kumar_February2026[[#This Row],[Del Days]]&lt;=15,"Standard",Data_Analyst_Intern_Nikhil_Kumar_February2026[[#This Row],[Del Days]]&gt;15,"Slow")</f>
        <v>Standard</v>
      </c>
      <c r="AB177" t="s">
        <v>34</v>
      </c>
      <c r="AC177">
        <f>IF(Data_Analyst_Intern_Nikhil_Kumar_February2026[[#This Row],[Status]]="RTO", 1,0)</f>
        <v>0</v>
      </c>
      <c r="AD177">
        <f>IF(Data_Analyst_Intern_Nikhil_Kumar_February2026[[#This Row],[Status]]="Delivered",1,0)</f>
        <v>1</v>
      </c>
      <c r="AE177" t="s">
        <v>35</v>
      </c>
      <c r="AF177">
        <f>IF(AND(Data_Analyst_Intern_Nikhil_Kumar_February2026[[#This Row],[Status]]="Delivered",Data_Analyst_Intern_Nikhil_Kumar_February2026[[#This Row],[Return?]]="Yes"),1,0)</f>
        <v>0</v>
      </c>
      <c r="AG177" t="s">
        <v>29</v>
      </c>
      <c r="AI177" t="s">
        <v>36</v>
      </c>
    </row>
    <row r="178" spans="1:35" x14ac:dyDescent="0.3">
      <c r="A178" t="s">
        <v>795</v>
      </c>
      <c r="B178" s="1">
        <v>45610</v>
      </c>
      <c r="C178" s="1" t="str">
        <f>TEXT(Data_Analyst_Intern_Nikhil_Kumar_February2026[[#This Row],[Order Date]], "mmmm")</f>
        <v>November</v>
      </c>
      <c r="D178" s="23">
        <f>WEEKNUM(Data_Analyst_Intern_Nikhil_Kumar_February2026[[#This Row],[Order Date]],2)</f>
        <v>46</v>
      </c>
      <c r="E178" s="23" t="str">
        <f>TEXT(Data_Analyst_Intern_Nikhil_Kumar_February2026[[#This Row],[Order Date]],"dddd")</f>
        <v>Thursday</v>
      </c>
      <c r="F178" s="1">
        <v>45607</v>
      </c>
      <c r="G178" s="23" t="str">
        <f>TEXT(WEEKDAY(Data_Analyst_Intern_Nikhil_Kumar_February2026[[#This Row],[Order Date]],2), "dddd")</f>
        <v>Wednesday</v>
      </c>
      <c r="H178" t="s">
        <v>796</v>
      </c>
      <c r="I178" t="s">
        <v>25</v>
      </c>
      <c r="J178" t="s">
        <v>797</v>
      </c>
      <c r="K178" t="s">
        <v>41</v>
      </c>
      <c r="L178" t="s">
        <v>798</v>
      </c>
      <c r="M178" s="2">
        <v>3199</v>
      </c>
      <c r="N178">
        <v>1</v>
      </c>
      <c r="O178" s="2">
        <v>3199</v>
      </c>
      <c r="P178" t="s">
        <v>703</v>
      </c>
      <c r="Q178">
        <v>15</v>
      </c>
      <c r="R178" s="4">
        <f>IFERROR(Data_Analyst_Intern_Nikhil_Kumar_February2026[[#This Row],[Total]]/Data_Analyst_Intern_Nikhil_Kumar_February2026[[#This Row],[Discount(%)]],0)</f>
        <v>213.26666666666668</v>
      </c>
      <c r="S178" s="2">
        <f>Data_Analyst_Intern_Nikhil_Kumar_February2026[[#This Row],[Total]]-Data_Analyst_Intern_Nikhil_Kumar_February2026[[#This Row],[Discount Amount]]</f>
        <v>2985.7333333333331</v>
      </c>
      <c r="T178" t="s">
        <v>65</v>
      </c>
      <c r="U178" t="s">
        <v>66</v>
      </c>
      <c r="V178" t="s">
        <v>85</v>
      </c>
      <c r="W178" t="s">
        <v>33</v>
      </c>
      <c r="X178" t="s">
        <v>32</v>
      </c>
      <c r="Y178" s="1">
        <v>45625</v>
      </c>
      <c r="Z178" s="3">
        <f>Data_Analyst_Intern_Nikhil_Kumar_February2026[[#This Row],[Del Date]]-Data_Analyst_Intern_Nikhil_Kumar_February2026[[#This Row],[Order Date]]</f>
        <v>15</v>
      </c>
      <c r="AA178" s="3" t="str" cm="1">
        <f t="array" ref="AA178">_xlfn.IFS(Data_Analyst_Intern_Nikhil_Kumar_February2026[[#This Row],[Del Days]]&lt;=7,"Fast",Data_Analyst_Intern_Nikhil_Kumar_February2026[[#This Row],[Del Days]]&lt;=15,"Standard",Data_Analyst_Intern_Nikhil_Kumar_February2026[[#This Row],[Del Days]]&gt;15,"Slow")</f>
        <v>Standard</v>
      </c>
      <c r="AB178" t="s">
        <v>34</v>
      </c>
      <c r="AC178">
        <f>IF(Data_Analyst_Intern_Nikhil_Kumar_February2026[[#This Row],[Status]]="RTO", 1,0)</f>
        <v>0</v>
      </c>
      <c r="AD178">
        <f>IF(Data_Analyst_Intern_Nikhil_Kumar_February2026[[#This Row],[Status]]="Delivered",1,0)</f>
        <v>1</v>
      </c>
      <c r="AE178" t="s">
        <v>47</v>
      </c>
      <c r="AF178">
        <f>IF(AND(Data_Analyst_Intern_Nikhil_Kumar_February2026[[#This Row],[Status]]="Delivered",Data_Analyst_Intern_Nikhil_Kumar_February2026[[#This Row],[Return?]]="Yes"),1,0)</f>
        <v>1</v>
      </c>
      <c r="AG178" t="s">
        <v>48</v>
      </c>
      <c r="AH178" s="1">
        <v>45654</v>
      </c>
      <c r="AI178" t="s">
        <v>49</v>
      </c>
    </row>
    <row r="179" spans="1:35" x14ac:dyDescent="0.3">
      <c r="A179" t="s">
        <v>799</v>
      </c>
      <c r="B179" s="1">
        <v>45611</v>
      </c>
      <c r="C179" s="1" t="str">
        <f>TEXT(Data_Analyst_Intern_Nikhil_Kumar_February2026[[#This Row],[Order Date]], "mmmm")</f>
        <v>November</v>
      </c>
      <c r="D179" s="23">
        <f>WEEKNUM(Data_Analyst_Intern_Nikhil_Kumar_February2026[[#This Row],[Order Date]],2)</f>
        <v>46</v>
      </c>
      <c r="E179" s="23" t="str">
        <f>TEXT(Data_Analyst_Intern_Nikhil_Kumar_February2026[[#This Row],[Order Date]],"dddd")</f>
        <v>Friday</v>
      </c>
      <c r="F179" s="1">
        <v>45607</v>
      </c>
      <c r="G179" s="23" t="str">
        <f>TEXT(WEEKDAY(Data_Analyst_Intern_Nikhil_Kumar_February2026[[#This Row],[Order Date]],2), "dddd")</f>
        <v>Thursday</v>
      </c>
      <c r="H179" t="s">
        <v>800</v>
      </c>
      <c r="I179" t="s">
        <v>39</v>
      </c>
      <c r="J179" t="s">
        <v>801</v>
      </c>
      <c r="K179" t="s">
        <v>54</v>
      </c>
      <c r="L179" t="s">
        <v>802</v>
      </c>
      <c r="M179" s="2">
        <v>2099</v>
      </c>
      <c r="N179">
        <v>1</v>
      </c>
      <c r="O179" s="2">
        <v>2099</v>
      </c>
      <c r="P179" t="s">
        <v>29</v>
      </c>
      <c r="Q179">
        <v>0</v>
      </c>
      <c r="R179" s="4">
        <f>IFERROR(Data_Analyst_Intern_Nikhil_Kumar_February2026[[#This Row],[Total]]/Data_Analyst_Intern_Nikhil_Kumar_February2026[[#This Row],[Discount(%)]],0)</f>
        <v>0</v>
      </c>
      <c r="S179" s="2">
        <f>Data_Analyst_Intern_Nikhil_Kumar_February2026[[#This Row],[Total]]-Data_Analyst_Intern_Nikhil_Kumar_February2026[[#This Row],[Discount Amount]]</f>
        <v>2099</v>
      </c>
      <c r="T179" t="s">
        <v>44</v>
      </c>
      <c r="U179" t="s">
        <v>31</v>
      </c>
      <c r="V179" t="s">
        <v>97</v>
      </c>
      <c r="W179" t="s">
        <v>98</v>
      </c>
      <c r="X179" t="s">
        <v>32</v>
      </c>
      <c r="Y179" s="1">
        <v>45624</v>
      </c>
      <c r="Z179" s="3">
        <f>Data_Analyst_Intern_Nikhil_Kumar_February2026[[#This Row],[Del Date]]-Data_Analyst_Intern_Nikhil_Kumar_February2026[[#This Row],[Order Date]]</f>
        <v>13</v>
      </c>
      <c r="AA179" s="3" t="str" cm="1">
        <f t="array" ref="AA179">_xlfn.IFS(Data_Analyst_Intern_Nikhil_Kumar_February2026[[#This Row],[Del Days]]&lt;=7,"Fast",Data_Analyst_Intern_Nikhil_Kumar_February2026[[#This Row],[Del Days]]&lt;=15,"Standard",Data_Analyst_Intern_Nikhil_Kumar_February2026[[#This Row],[Del Days]]&gt;15,"Slow")</f>
        <v>Standard</v>
      </c>
      <c r="AB179" t="s">
        <v>34</v>
      </c>
      <c r="AC179">
        <f>IF(Data_Analyst_Intern_Nikhil_Kumar_February2026[[#This Row],[Status]]="RTO", 1,0)</f>
        <v>0</v>
      </c>
      <c r="AD179">
        <f>IF(Data_Analyst_Intern_Nikhil_Kumar_February2026[[#This Row],[Status]]="Delivered",1,0)</f>
        <v>1</v>
      </c>
      <c r="AE179" t="s">
        <v>35</v>
      </c>
      <c r="AF179">
        <f>IF(AND(Data_Analyst_Intern_Nikhil_Kumar_February2026[[#This Row],[Status]]="Delivered",Data_Analyst_Intern_Nikhil_Kumar_February2026[[#This Row],[Return?]]="Yes"),1,0)</f>
        <v>0</v>
      </c>
      <c r="AG179" t="s">
        <v>29</v>
      </c>
      <c r="AI179" t="s">
        <v>36</v>
      </c>
    </row>
    <row r="180" spans="1:35" x14ac:dyDescent="0.3">
      <c r="A180" t="s">
        <v>803</v>
      </c>
      <c r="B180" s="1">
        <v>45611</v>
      </c>
      <c r="C180" s="1" t="str">
        <f>TEXT(Data_Analyst_Intern_Nikhil_Kumar_February2026[[#This Row],[Order Date]], "mmmm")</f>
        <v>November</v>
      </c>
      <c r="D180" s="23">
        <f>WEEKNUM(Data_Analyst_Intern_Nikhil_Kumar_February2026[[#This Row],[Order Date]],2)</f>
        <v>46</v>
      </c>
      <c r="E180" s="23" t="str">
        <f>TEXT(Data_Analyst_Intern_Nikhil_Kumar_February2026[[#This Row],[Order Date]],"dddd")</f>
        <v>Friday</v>
      </c>
      <c r="F180" s="1">
        <v>45607</v>
      </c>
      <c r="G180" s="23" t="str">
        <f>TEXT(WEEKDAY(Data_Analyst_Intern_Nikhil_Kumar_February2026[[#This Row],[Order Date]],2), "dddd")</f>
        <v>Thursday</v>
      </c>
      <c r="H180" t="s">
        <v>804</v>
      </c>
      <c r="I180" t="s">
        <v>25</v>
      </c>
      <c r="J180" t="s">
        <v>805</v>
      </c>
      <c r="K180" t="s">
        <v>62</v>
      </c>
      <c r="L180" t="s">
        <v>806</v>
      </c>
      <c r="M180" s="2">
        <v>6999</v>
      </c>
      <c r="N180">
        <v>1</v>
      </c>
      <c r="O180" s="2">
        <v>6999</v>
      </c>
      <c r="P180" t="s">
        <v>29</v>
      </c>
      <c r="Q180">
        <v>0</v>
      </c>
      <c r="R180" s="4">
        <f>IFERROR(Data_Analyst_Intern_Nikhil_Kumar_February2026[[#This Row],[Total]]/Data_Analyst_Intern_Nikhil_Kumar_February2026[[#This Row],[Discount(%)]],0)</f>
        <v>0</v>
      </c>
      <c r="S180" s="2">
        <f>Data_Analyst_Intern_Nikhil_Kumar_February2026[[#This Row],[Total]]-Data_Analyst_Intern_Nikhil_Kumar_February2026[[#This Row],[Discount Amount]]</f>
        <v>6999</v>
      </c>
      <c r="T180" t="s">
        <v>30</v>
      </c>
      <c r="U180" t="s">
        <v>45</v>
      </c>
      <c r="V180" t="s">
        <v>103</v>
      </c>
      <c r="W180" t="s">
        <v>104</v>
      </c>
      <c r="X180" t="s">
        <v>46</v>
      </c>
      <c r="Y180" s="1">
        <v>45626</v>
      </c>
      <c r="Z180" s="3">
        <f>Data_Analyst_Intern_Nikhil_Kumar_February2026[[#This Row],[Del Date]]-Data_Analyst_Intern_Nikhil_Kumar_February2026[[#This Row],[Order Date]]</f>
        <v>15</v>
      </c>
      <c r="AA180" s="3" t="str" cm="1">
        <f t="array" ref="AA180">_xlfn.IFS(Data_Analyst_Intern_Nikhil_Kumar_February2026[[#This Row],[Del Days]]&lt;=7,"Fast",Data_Analyst_Intern_Nikhil_Kumar_February2026[[#This Row],[Del Days]]&lt;=15,"Standard",Data_Analyst_Intern_Nikhil_Kumar_February2026[[#This Row],[Del Days]]&gt;15,"Slow")</f>
        <v>Standard</v>
      </c>
      <c r="AB180" t="s">
        <v>34</v>
      </c>
      <c r="AC180">
        <f>IF(Data_Analyst_Intern_Nikhil_Kumar_February2026[[#This Row],[Status]]="RTO", 1,0)</f>
        <v>0</v>
      </c>
      <c r="AD180">
        <f>IF(Data_Analyst_Intern_Nikhil_Kumar_February2026[[#This Row],[Status]]="Delivered",1,0)</f>
        <v>1</v>
      </c>
      <c r="AE180" t="s">
        <v>47</v>
      </c>
      <c r="AF180">
        <f>IF(AND(Data_Analyst_Intern_Nikhil_Kumar_February2026[[#This Row],[Status]]="Delivered",Data_Analyst_Intern_Nikhil_Kumar_February2026[[#This Row],[Return?]]="Yes"),1,0)</f>
        <v>1</v>
      </c>
      <c r="AG180" t="s">
        <v>105</v>
      </c>
      <c r="AH180" s="1">
        <v>45655</v>
      </c>
      <c r="AI180" t="s">
        <v>49</v>
      </c>
    </row>
    <row r="181" spans="1:35" x14ac:dyDescent="0.3">
      <c r="A181" t="s">
        <v>807</v>
      </c>
      <c r="B181" s="1">
        <v>45611</v>
      </c>
      <c r="C181" s="1" t="str">
        <f>TEXT(Data_Analyst_Intern_Nikhil_Kumar_February2026[[#This Row],[Order Date]], "mmmm")</f>
        <v>November</v>
      </c>
      <c r="D181" s="23">
        <f>WEEKNUM(Data_Analyst_Intern_Nikhil_Kumar_February2026[[#This Row],[Order Date]],2)</f>
        <v>46</v>
      </c>
      <c r="E181" s="23" t="str">
        <f>TEXT(Data_Analyst_Intern_Nikhil_Kumar_February2026[[#This Row],[Order Date]],"dddd")</f>
        <v>Friday</v>
      </c>
      <c r="F181" s="1">
        <v>45607</v>
      </c>
      <c r="G181" s="23" t="str">
        <f>TEXT(WEEKDAY(Data_Analyst_Intern_Nikhil_Kumar_February2026[[#This Row],[Order Date]],2), "dddd")</f>
        <v>Thursday</v>
      </c>
      <c r="H181" t="s">
        <v>808</v>
      </c>
      <c r="I181" t="s">
        <v>25</v>
      </c>
      <c r="J181" t="s">
        <v>809</v>
      </c>
      <c r="K181" t="s">
        <v>72</v>
      </c>
      <c r="L181" t="s">
        <v>810</v>
      </c>
      <c r="M181" s="2">
        <v>899</v>
      </c>
      <c r="N181">
        <v>1</v>
      </c>
      <c r="O181" s="2">
        <v>899</v>
      </c>
      <c r="P181" t="s">
        <v>29</v>
      </c>
      <c r="Q181">
        <v>0</v>
      </c>
      <c r="R181" s="4">
        <f>IFERROR(Data_Analyst_Intern_Nikhil_Kumar_February2026[[#This Row],[Total]]/Data_Analyst_Intern_Nikhil_Kumar_February2026[[#This Row],[Discount(%)]],0)</f>
        <v>0</v>
      </c>
      <c r="S181" s="2">
        <f>Data_Analyst_Intern_Nikhil_Kumar_February2026[[#This Row],[Total]]-Data_Analyst_Intern_Nikhil_Kumar_February2026[[#This Row],[Discount Amount]]</f>
        <v>899</v>
      </c>
      <c r="T181" t="s">
        <v>56</v>
      </c>
      <c r="U181" t="s">
        <v>66</v>
      </c>
      <c r="V181" t="s">
        <v>113</v>
      </c>
      <c r="W181" t="s">
        <v>114</v>
      </c>
      <c r="X181" t="s">
        <v>46</v>
      </c>
      <c r="Y181" s="1">
        <v>45624</v>
      </c>
      <c r="Z181" s="3">
        <f>Data_Analyst_Intern_Nikhil_Kumar_February2026[[#This Row],[Del Date]]-Data_Analyst_Intern_Nikhil_Kumar_February2026[[#This Row],[Order Date]]</f>
        <v>13</v>
      </c>
      <c r="AA181" s="3" t="str" cm="1">
        <f t="array" ref="AA181">_xlfn.IFS(Data_Analyst_Intern_Nikhil_Kumar_February2026[[#This Row],[Del Days]]&lt;=7,"Fast",Data_Analyst_Intern_Nikhil_Kumar_February2026[[#This Row],[Del Days]]&lt;=15,"Standard",Data_Analyst_Intern_Nikhil_Kumar_February2026[[#This Row],[Del Days]]&gt;15,"Slow")</f>
        <v>Standard</v>
      </c>
      <c r="AB181" t="s">
        <v>34</v>
      </c>
      <c r="AC181">
        <f>IF(Data_Analyst_Intern_Nikhil_Kumar_February2026[[#This Row],[Status]]="RTO", 1,0)</f>
        <v>0</v>
      </c>
      <c r="AD181">
        <f>IF(Data_Analyst_Intern_Nikhil_Kumar_February2026[[#This Row],[Status]]="Delivered",1,0)</f>
        <v>1</v>
      </c>
      <c r="AE181" t="s">
        <v>47</v>
      </c>
      <c r="AF181">
        <f>IF(AND(Data_Analyst_Intern_Nikhil_Kumar_February2026[[#This Row],[Status]]="Delivered",Data_Analyst_Intern_Nikhil_Kumar_February2026[[#This Row],[Return?]]="Yes"),1,0)</f>
        <v>1</v>
      </c>
      <c r="AG181" t="s">
        <v>80</v>
      </c>
      <c r="AH181" s="1">
        <v>45653</v>
      </c>
      <c r="AI181" t="s">
        <v>49</v>
      </c>
    </row>
    <row r="182" spans="1:35" x14ac:dyDescent="0.3">
      <c r="A182" t="s">
        <v>811</v>
      </c>
      <c r="B182" s="1">
        <v>45612</v>
      </c>
      <c r="C182" s="1" t="str">
        <f>TEXT(Data_Analyst_Intern_Nikhil_Kumar_February2026[[#This Row],[Order Date]], "mmmm")</f>
        <v>November</v>
      </c>
      <c r="D182" s="23">
        <f>WEEKNUM(Data_Analyst_Intern_Nikhil_Kumar_February2026[[#This Row],[Order Date]],2)</f>
        <v>46</v>
      </c>
      <c r="E182" s="23" t="str">
        <f>TEXT(Data_Analyst_Intern_Nikhil_Kumar_February2026[[#This Row],[Order Date]],"dddd")</f>
        <v>Saturday</v>
      </c>
      <c r="F182" s="1">
        <v>45607</v>
      </c>
      <c r="G182" s="23" t="str">
        <f>TEXT(WEEKDAY(Data_Analyst_Intern_Nikhil_Kumar_February2026[[#This Row],[Order Date]],2), "dddd")</f>
        <v>Friday</v>
      </c>
      <c r="H182" t="s">
        <v>812</v>
      </c>
      <c r="I182" t="s">
        <v>25</v>
      </c>
      <c r="J182" t="s">
        <v>813</v>
      </c>
      <c r="K182" t="s">
        <v>27</v>
      </c>
      <c r="L182" t="s">
        <v>814</v>
      </c>
      <c r="M182" s="2">
        <v>1499</v>
      </c>
      <c r="N182">
        <v>1</v>
      </c>
      <c r="O182" s="2">
        <v>1499</v>
      </c>
      <c r="P182" t="s">
        <v>703</v>
      </c>
      <c r="Q182">
        <v>15</v>
      </c>
      <c r="R182" s="4">
        <f>IFERROR(Data_Analyst_Intern_Nikhil_Kumar_February2026[[#This Row],[Total]]/Data_Analyst_Intern_Nikhil_Kumar_February2026[[#This Row],[Discount(%)]],0)</f>
        <v>99.933333333333337</v>
      </c>
      <c r="S182" s="2">
        <f>Data_Analyst_Intern_Nikhil_Kumar_February2026[[#This Row],[Total]]-Data_Analyst_Intern_Nikhil_Kumar_February2026[[#This Row],[Discount Amount]]</f>
        <v>1399.0666666666666</v>
      </c>
      <c r="T182" t="s">
        <v>112</v>
      </c>
      <c r="U182" t="s">
        <v>31</v>
      </c>
      <c r="V182" t="s">
        <v>57</v>
      </c>
      <c r="W182" t="s">
        <v>58</v>
      </c>
      <c r="X182" t="s">
        <v>57</v>
      </c>
      <c r="Y182" s="1">
        <v>45625</v>
      </c>
      <c r="Z182" s="3">
        <f>Data_Analyst_Intern_Nikhil_Kumar_February2026[[#This Row],[Del Date]]-Data_Analyst_Intern_Nikhil_Kumar_February2026[[#This Row],[Order Date]]</f>
        <v>13</v>
      </c>
      <c r="AA182" s="3" t="str" cm="1">
        <f t="array" ref="AA182">_xlfn.IFS(Data_Analyst_Intern_Nikhil_Kumar_February2026[[#This Row],[Del Days]]&lt;=7,"Fast",Data_Analyst_Intern_Nikhil_Kumar_February2026[[#This Row],[Del Days]]&lt;=15,"Standard",Data_Analyst_Intern_Nikhil_Kumar_February2026[[#This Row],[Del Days]]&gt;15,"Slow")</f>
        <v>Standard</v>
      </c>
      <c r="AB182" t="s">
        <v>34</v>
      </c>
      <c r="AC182">
        <f>IF(Data_Analyst_Intern_Nikhil_Kumar_February2026[[#This Row],[Status]]="RTO", 1,0)</f>
        <v>0</v>
      </c>
      <c r="AD182">
        <f>IF(Data_Analyst_Intern_Nikhil_Kumar_February2026[[#This Row],[Status]]="Delivered",1,0)</f>
        <v>1</v>
      </c>
      <c r="AE182" t="s">
        <v>35</v>
      </c>
      <c r="AF182">
        <f>IF(AND(Data_Analyst_Intern_Nikhil_Kumar_February2026[[#This Row],[Status]]="Delivered",Data_Analyst_Intern_Nikhil_Kumar_February2026[[#This Row],[Return?]]="Yes"),1,0)</f>
        <v>0</v>
      </c>
      <c r="AG182" t="s">
        <v>29</v>
      </c>
      <c r="AI182" t="s">
        <v>36</v>
      </c>
    </row>
    <row r="183" spans="1:35" x14ac:dyDescent="0.3">
      <c r="A183" t="s">
        <v>815</v>
      </c>
      <c r="B183" s="1">
        <v>45612</v>
      </c>
      <c r="C183" s="1" t="str">
        <f>TEXT(Data_Analyst_Intern_Nikhil_Kumar_February2026[[#This Row],[Order Date]], "mmmm")</f>
        <v>November</v>
      </c>
      <c r="D183" s="23">
        <f>WEEKNUM(Data_Analyst_Intern_Nikhil_Kumar_February2026[[#This Row],[Order Date]],2)</f>
        <v>46</v>
      </c>
      <c r="E183" s="23" t="str">
        <f>TEXT(Data_Analyst_Intern_Nikhil_Kumar_February2026[[#This Row],[Order Date]],"dddd")</f>
        <v>Saturday</v>
      </c>
      <c r="F183" s="1">
        <v>45607</v>
      </c>
      <c r="G183" s="23" t="str">
        <f>TEXT(WEEKDAY(Data_Analyst_Intern_Nikhil_Kumar_February2026[[#This Row],[Order Date]],2), "dddd")</f>
        <v>Friday</v>
      </c>
      <c r="H183" t="s">
        <v>816</v>
      </c>
      <c r="I183" t="s">
        <v>25</v>
      </c>
      <c r="J183" t="s">
        <v>817</v>
      </c>
      <c r="K183" t="s">
        <v>41</v>
      </c>
      <c r="L183" t="s">
        <v>818</v>
      </c>
      <c r="M183" s="2">
        <v>2999</v>
      </c>
      <c r="N183">
        <v>1</v>
      </c>
      <c r="O183" s="2">
        <v>2999</v>
      </c>
      <c r="P183" t="s">
        <v>29</v>
      </c>
      <c r="Q183">
        <v>0</v>
      </c>
      <c r="R183" s="4">
        <f>IFERROR(Data_Analyst_Intern_Nikhil_Kumar_February2026[[#This Row],[Total]]/Data_Analyst_Intern_Nikhil_Kumar_February2026[[#This Row],[Discount(%)]],0)</f>
        <v>0</v>
      </c>
      <c r="S183" s="2">
        <f>Data_Analyst_Intern_Nikhil_Kumar_February2026[[#This Row],[Total]]-Data_Analyst_Intern_Nikhil_Kumar_February2026[[#This Row],[Discount Amount]]</f>
        <v>2999</v>
      </c>
      <c r="T183" t="s">
        <v>65</v>
      </c>
      <c r="U183" t="s">
        <v>45</v>
      </c>
      <c r="V183" t="s">
        <v>32</v>
      </c>
      <c r="W183" t="s">
        <v>33</v>
      </c>
      <c r="X183" t="s">
        <v>32</v>
      </c>
      <c r="Y183" s="1">
        <v>45627</v>
      </c>
      <c r="Z183" s="3">
        <f>Data_Analyst_Intern_Nikhil_Kumar_February2026[[#This Row],[Del Date]]-Data_Analyst_Intern_Nikhil_Kumar_February2026[[#This Row],[Order Date]]</f>
        <v>15</v>
      </c>
      <c r="AA183" s="3" t="str" cm="1">
        <f t="array" ref="AA183">_xlfn.IFS(Data_Analyst_Intern_Nikhil_Kumar_February2026[[#This Row],[Del Days]]&lt;=7,"Fast",Data_Analyst_Intern_Nikhil_Kumar_February2026[[#This Row],[Del Days]]&lt;=15,"Standard",Data_Analyst_Intern_Nikhil_Kumar_February2026[[#This Row],[Del Days]]&gt;15,"Slow")</f>
        <v>Standard</v>
      </c>
      <c r="AB183" t="s">
        <v>34</v>
      </c>
      <c r="AC183">
        <f>IF(Data_Analyst_Intern_Nikhil_Kumar_February2026[[#This Row],[Status]]="RTO", 1,0)</f>
        <v>0</v>
      </c>
      <c r="AD183">
        <f>IF(Data_Analyst_Intern_Nikhil_Kumar_February2026[[#This Row],[Status]]="Delivered",1,0)</f>
        <v>1</v>
      </c>
      <c r="AE183" t="s">
        <v>47</v>
      </c>
      <c r="AF183">
        <f>IF(AND(Data_Analyst_Intern_Nikhil_Kumar_February2026[[#This Row],[Status]]="Delivered",Data_Analyst_Intern_Nikhil_Kumar_February2026[[#This Row],[Return?]]="Yes"),1,0)</f>
        <v>1</v>
      </c>
      <c r="AG183" t="s">
        <v>69</v>
      </c>
      <c r="AH183" s="1">
        <v>45656</v>
      </c>
      <c r="AI183" t="s">
        <v>49</v>
      </c>
    </row>
    <row r="184" spans="1:35" x14ac:dyDescent="0.3">
      <c r="A184" t="s">
        <v>819</v>
      </c>
      <c r="B184" s="1">
        <v>45612</v>
      </c>
      <c r="C184" s="1" t="str">
        <f>TEXT(Data_Analyst_Intern_Nikhil_Kumar_February2026[[#This Row],[Order Date]], "mmmm")</f>
        <v>November</v>
      </c>
      <c r="D184" s="23">
        <f>WEEKNUM(Data_Analyst_Intern_Nikhil_Kumar_February2026[[#This Row],[Order Date]],2)</f>
        <v>46</v>
      </c>
      <c r="E184" s="23" t="str">
        <f>TEXT(Data_Analyst_Intern_Nikhil_Kumar_February2026[[#This Row],[Order Date]],"dddd")</f>
        <v>Saturday</v>
      </c>
      <c r="F184" s="1">
        <v>45607</v>
      </c>
      <c r="G184" s="23" t="str">
        <f>TEXT(WEEKDAY(Data_Analyst_Intern_Nikhil_Kumar_February2026[[#This Row],[Order Date]],2), "dddd")</f>
        <v>Friday</v>
      </c>
      <c r="H184" t="s">
        <v>820</v>
      </c>
      <c r="I184" t="s">
        <v>39</v>
      </c>
      <c r="J184" t="s">
        <v>821</v>
      </c>
      <c r="K184" t="s">
        <v>54</v>
      </c>
      <c r="L184" t="s">
        <v>822</v>
      </c>
      <c r="M184" s="2">
        <v>1899</v>
      </c>
      <c r="N184">
        <v>1</v>
      </c>
      <c r="O184" s="2">
        <v>1899</v>
      </c>
      <c r="P184" t="s">
        <v>29</v>
      </c>
      <c r="Q184">
        <v>0</v>
      </c>
      <c r="R184" s="4">
        <f>IFERROR(Data_Analyst_Intern_Nikhil_Kumar_February2026[[#This Row],[Total]]/Data_Analyst_Intern_Nikhil_Kumar_February2026[[#This Row],[Discount(%)]],0)</f>
        <v>0</v>
      </c>
      <c r="S184" s="2">
        <f>Data_Analyst_Intern_Nikhil_Kumar_February2026[[#This Row],[Total]]-Data_Analyst_Intern_Nikhil_Kumar_February2026[[#This Row],[Discount Amount]]</f>
        <v>1899</v>
      </c>
      <c r="T184" t="s">
        <v>44</v>
      </c>
      <c r="U184" t="s">
        <v>66</v>
      </c>
      <c r="V184" t="s">
        <v>46</v>
      </c>
      <c r="W184" t="s">
        <v>46</v>
      </c>
      <c r="X184" t="s">
        <v>46</v>
      </c>
      <c r="Y184" s="1">
        <v>45625</v>
      </c>
      <c r="Z184" s="3">
        <f>Data_Analyst_Intern_Nikhil_Kumar_February2026[[#This Row],[Del Date]]-Data_Analyst_Intern_Nikhil_Kumar_February2026[[#This Row],[Order Date]]</f>
        <v>13</v>
      </c>
      <c r="AA184" s="3" t="str" cm="1">
        <f t="array" ref="AA184">_xlfn.IFS(Data_Analyst_Intern_Nikhil_Kumar_February2026[[#This Row],[Del Days]]&lt;=7,"Fast",Data_Analyst_Intern_Nikhil_Kumar_February2026[[#This Row],[Del Days]]&lt;=15,"Standard",Data_Analyst_Intern_Nikhil_Kumar_February2026[[#This Row],[Del Days]]&gt;15,"Slow")</f>
        <v>Standard</v>
      </c>
      <c r="AB184" t="s">
        <v>34</v>
      </c>
      <c r="AC184">
        <f>IF(Data_Analyst_Intern_Nikhil_Kumar_February2026[[#This Row],[Status]]="RTO", 1,0)</f>
        <v>0</v>
      </c>
      <c r="AD184">
        <f>IF(Data_Analyst_Intern_Nikhil_Kumar_February2026[[#This Row],[Status]]="Delivered",1,0)</f>
        <v>1</v>
      </c>
      <c r="AE184" t="s">
        <v>35</v>
      </c>
      <c r="AF184">
        <f>IF(AND(Data_Analyst_Intern_Nikhil_Kumar_February2026[[#This Row],[Status]]="Delivered",Data_Analyst_Intern_Nikhil_Kumar_February2026[[#This Row],[Return?]]="Yes"),1,0)</f>
        <v>0</v>
      </c>
      <c r="AG184" t="s">
        <v>29</v>
      </c>
      <c r="AI184" t="s">
        <v>36</v>
      </c>
    </row>
    <row r="185" spans="1:35" x14ac:dyDescent="0.3">
      <c r="A185" t="s">
        <v>823</v>
      </c>
      <c r="B185" s="1">
        <v>45613</v>
      </c>
      <c r="C185" s="1" t="str">
        <f>TEXT(Data_Analyst_Intern_Nikhil_Kumar_February2026[[#This Row],[Order Date]], "mmmm")</f>
        <v>November</v>
      </c>
      <c r="D185" s="23">
        <f>WEEKNUM(Data_Analyst_Intern_Nikhil_Kumar_February2026[[#This Row],[Order Date]],2)</f>
        <v>46</v>
      </c>
      <c r="E185" s="23" t="str">
        <f>TEXT(Data_Analyst_Intern_Nikhil_Kumar_February2026[[#This Row],[Order Date]],"dddd")</f>
        <v>Sunday</v>
      </c>
      <c r="F185" s="1">
        <v>45607</v>
      </c>
      <c r="G185" s="23" t="str">
        <f>TEXT(WEEKDAY(Data_Analyst_Intern_Nikhil_Kumar_February2026[[#This Row],[Order Date]],2), "dddd")</f>
        <v>Saturday</v>
      </c>
      <c r="H185" t="s">
        <v>824</v>
      </c>
      <c r="I185" t="s">
        <v>25</v>
      </c>
      <c r="J185" t="s">
        <v>825</v>
      </c>
      <c r="K185" t="s">
        <v>62</v>
      </c>
      <c r="L185" t="s">
        <v>826</v>
      </c>
      <c r="M185" s="2">
        <v>7499</v>
      </c>
      <c r="N185">
        <v>1</v>
      </c>
      <c r="O185" s="2">
        <v>7499</v>
      </c>
      <c r="P185" t="s">
        <v>29</v>
      </c>
      <c r="Q185">
        <v>0</v>
      </c>
      <c r="R185" s="4">
        <f>IFERROR(Data_Analyst_Intern_Nikhil_Kumar_February2026[[#This Row],[Total]]/Data_Analyst_Intern_Nikhil_Kumar_February2026[[#This Row],[Discount(%)]],0)</f>
        <v>0</v>
      </c>
      <c r="S185" s="2">
        <f>Data_Analyst_Intern_Nikhil_Kumar_February2026[[#This Row],[Total]]-Data_Analyst_Intern_Nikhil_Kumar_February2026[[#This Row],[Discount Amount]]</f>
        <v>7499</v>
      </c>
      <c r="T185" t="s">
        <v>30</v>
      </c>
      <c r="U185" t="s">
        <v>31</v>
      </c>
      <c r="V185" t="s">
        <v>119</v>
      </c>
      <c r="W185" t="s">
        <v>120</v>
      </c>
      <c r="X185" t="s">
        <v>46</v>
      </c>
      <c r="Y185" s="1">
        <v>45628</v>
      </c>
      <c r="Z185" s="3">
        <f>Data_Analyst_Intern_Nikhil_Kumar_February2026[[#This Row],[Del Date]]-Data_Analyst_Intern_Nikhil_Kumar_February2026[[#This Row],[Order Date]]</f>
        <v>15</v>
      </c>
      <c r="AA185" s="3" t="str" cm="1">
        <f t="array" ref="AA185">_xlfn.IFS(Data_Analyst_Intern_Nikhil_Kumar_February2026[[#This Row],[Del Days]]&lt;=7,"Fast",Data_Analyst_Intern_Nikhil_Kumar_February2026[[#This Row],[Del Days]]&lt;=15,"Standard",Data_Analyst_Intern_Nikhil_Kumar_February2026[[#This Row],[Del Days]]&gt;15,"Slow")</f>
        <v>Standard</v>
      </c>
      <c r="AB185" t="s">
        <v>34</v>
      </c>
      <c r="AC185">
        <f>IF(Data_Analyst_Intern_Nikhil_Kumar_February2026[[#This Row],[Status]]="RTO", 1,0)</f>
        <v>0</v>
      </c>
      <c r="AD185">
        <f>IF(Data_Analyst_Intern_Nikhil_Kumar_February2026[[#This Row],[Status]]="Delivered",1,0)</f>
        <v>1</v>
      </c>
      <c r="AE185" t="s">
        <v>47</v>
      </c>
      <c r="AF185">
        <f>IF(AND(Data_Analyst_Intern_Nikhil_Kumar_February2026[[#This Row],[Status]]="Delivered",Data_Analyst_Intern_Nikhil_Kumar_February2026[[#This Row],[Return?]]="Yes"),1,0)</f>
        <v>1</v>
      </c>
      <c r="AG185" t="s">
        <v>48</v>
      </c>
      <c r="AH185" s="1">
        <v>45657</v>
      </c>
      <c r="AI185" t="s">
        <v>49</v>
      </c>
    </row>
    <row r="186" spans="1:35" x14ac:dyDescent="0.3">
      <c r="A186" t="s">
        <v>827</v>
      </c>
      <c r="B186" s="1">
        <v>45613</v>
      </c>
      <c r="C186" s="1" t="str">
        <f>TEXT(Data_Analyst_Intern_Nikhil_Kumar_February2026[[#This Row],[Order Date]], "mmmm")</f>
        <v>November</v>
      </c>
      <c r="D186" s="23">
        <f>WEEKNUM(Data_Analyst_Intern_Nikhil_Kumar_February2026[[#This Row],[Order Date]],2)</f>
        <v>46</v>
      </c>
      <c r="E186" s="23" t="str">
        <f>TEXT(Data_Analyst_Intern_Nikhil_Kumar_February2026[[#This Row],[Order Date]],"dddd")</f>
        <v>Sunday</v>
      </c>
      <c r="F186" s="1">
        <v>45607</v>
      </c>
      <c r="G186" s="23" t="str">
        <f>TEXT(WEEKDAY(Data_Analyst_Intern_Nikhil_Kumar_February2026[[#This Row],[Order Date]],2), "dddd")</f>
        <v>Saturday</v>
      </c>
      <c r="H186" t="s">
        <v>828</v>
      </c>
      <c r="I186" t="s">
        <v>25</v>
      </c>
      <c r="J186" t="s">
        <v>829</v>
      </c>
      <c r="K186" t="s">
        <v>72</v>
      </c>
      <c r="L186" t="s">
        <v>830</v>
      </c>
      <c r="M186" s="2">
        <v>1299</v>
      </c>
      <c r="N186">
        <v>1</v>
      </c>
      <c r="O186" s="2">
        <v>1299</v>
      </c>
      <c r="P186" t="s">
        <v>703</v>
      </c>
      <c r="Q186">
        <v>15</v>
      </c>
      <c r="R186" s="4">
        <f>IFERROR(Data_Analyst_Intern_Nikhil_Kumar_February2026[[#This Row],[Total]]/Data_Analyst_Intern_Nikhil_Kumar_February2026[[#This Row],[Discount(%)]],0)</f>
        <v>86.6</v>
      </c>
      <c r="S186" s="2">
        <f>Data_Analyst_Intern_Nikhil_Kumar_February2026[[#This Row],[Total]]-Data_Analyst_Intern_Nikhil_Kumar_February2026[[#This Row],[Discount Amount]]</f>
        <v>1212.4000000000001</v>
      </c>
      <c r="T186" t="s">
        <v>56</v>
      </c>
      <c r="U186" t="s">
        <v>45</v>
      </c>
      <c r="V186" t="s">
        <v>138</v>
      </c>
      <c r="W186" t="s">
        <v>114</v>
      </c>
      <c r="X186" t="s">
        <v>46</v>
      </c>
      <c r="Y186" s="1">
        <v>45626</v>
      </c>
      <c r="Z186" s="3">
        <f>Data_Analyst_Intern_Nikhil_Kumar_February2026[[#This Row],[Del Date]]-Data_Analyst_Intern_Nikhil_Kumar_February2026[[#This Row],[Order Date]]</f>
        <v>13</v>
      </c>
      <c r="AA186" s="3" t="str" cm="1">
        <f t="array" ref="AA186">_xlfn.IFS(Data_Analyst_Intern_Nikhil_Kumar_February2026[[#This Row],[Del Days]]&lt;=7,"Fast",Data_Analyst_Intern_Nikhil_Kumar_February2026[[#This Row],[Del Days]]&lt;=15,"Standard",Data_Analyst_Intern_Nikhil_Kumar_February2026[[#This Row],[Del Days]]&gt;15,"Slow")</f>
        <v>Standard</v>
      </c>
      <c r="AB186" t="s">
        <v>34</v>
      </c>
      <c r="AC186">
        <f>IF(Data_Analyst_Intern_Nikhil_Kumar_February2026[[#This Row],[Status]]="RTO", 1,0)</f>
        <v>0</v>
      </c>
      <c r="AD186">
        <f>IF(Data_Analyst_Intern_Nikhil_Kumar_February2026[[#This Row],[Status]]="Delivered",1,0)</f>
        <v>1</v>
      </c>
      <c r="AE186" t="s">
        <v>35</v>
      </c>
      <c r="AF186">
        <f>IF(AND(Data_Analyst_Intern_Nikhil_Kumar_February2026[[#This Row],[Status]]="Delivered",Data_Analyst_Intern_Nikhil_Kumar_February2026[[#This Row],[Return?]]="Yes"),1,0)</f>
        <v>0</v>
      </c>
      <c r="AG186" t="s">
        <v>29</v>
      </c>
      <c r="AI186" t="s">
        <v>36</v>
      </c>
    </row>
    <row r="187" spans="1:35" x14ac:dyDescent="0.3">
      <c r="A187" t="s">
        <v>831</v>
      </c>
      <c r="B187" s="1">
        <v>45613</v>
      </c>
      <c r="C187" s="1" t="str">
        <f>TEXT(Data_Analyst_Intern_Nikhil_Kumar_February2026[[#This Row],[Order Date]], "mmmm")</f>
        <v>November</v>
      </c>
      <c r="D187" s="23">
        <f>WEEKNUM(Data_Analyst_Intern_Nikhil_Kumar_February2026[[#This Row],[Order Date]],2)</f>
        <v>46</v>
      </c>
      <c r="E187" s="23" t="str">
        <f>TEXT(Data_Analyst_Intern_Nikhil_Kumar_February2026[[#This Row],[Order Date]],"dddd")</f>
        <v>Sunday</v>
      </c>
      <c r="F187" s="1">
        <v>45607</v>
      </c>
      <c r="G187" s="23" t="str">
        <f>TEXT(WEEKDAY(Data_Analyst_Intern_Nikhil_Kumar_February2026[[#This Row],[Order Date]],2), "dddd")</f>
        <v>Saturday</v>
      </c>
      <c r="H187" t="s">
        <v>832</v>
      </c>
      <c r="I187" t="s">
        <v>25</v>
      </c>
      <c r="J187" t="s">
        <v>833</v>
      </c>
      <c r="K187" t="s">
        <v>27</v>
      </c>
      <c r="L187" t="s">
        <v>834</v>
      </c>
      <c r="M187" s="2">
        <v>1599</v>
      </c>
      <c r="N187">
        <v>1</v>
      </c>
      <c r="O187" s="2">
        <v>1599</v>
      </c>
      <c r="P187" t="s">
        <v>29</v>
      </c>
      <c r="Q187">
        <v>0</v>
      </c>
      <c r="R187" s="4">
        <f>IFERROR(Data_Analyst_Intern_Nikhil_Kumar_February2026[[#This Row],[Total]]/Data_Analyst_Intern_Nikhil_Kumar_February2026[[#This Row],[Discount(%)]],0)</f>
        <v>0</v>
      </c>
      <c r="S187" s="2">
        <f>Data_Analyst_Intern_Nikhil_Kumar_February2026[[#This Row],[Total]]-Data_Analyst_Intern_Nikhil_Kumar_February2026[[#This Row],[Discount Amount]]</f>
        <v>1599</v>
      </c>
      <c r="T187" t="s">
        <v>44</v>
      </c>
      <c r="U187" t="s">
        <v>66</v>
      </c>
      <c r="V187" t="s">
        <v>144</v>
      </c>
      <c r="W187" t="s">
        <v>145</v>
      </c>
      <c r="X187" t="s">
        <v>46</v>
      </c>
      <c r="Y187" s="1">
        <v>45627</v>
      </c>
      <c r="Z187" s="3">
        <f>Data_Analyst_Intern_Nikhil_Kumar_February2026[[#This Row],[Del Date]]-Data_Analyst_Intern_Nikhil_Kumar_February2026[[#This Row],[Order Date]]</f>
        <v>14</v>
      </c>
      <c r="AA187" s="3" t="str" cm="1">
        <f t="array" ref="AA187">_xlfn.IFS(Data_Analyst_Intern_Nikhil_Kumar_February2026[[#This Row],[Del Days]]&lt;=7,"Fast",Data_Analyst_Intern_Nikhil_Kumar_February2026[[#This Row],[Del Days]]&lt;=15,"Standard",Data_Analyst_Intern_Nikhil_Kumar_February2026[[#This Row],[Del Days]]&gt;15,"Slow")</f>
        <v>Standard</v>
      </c>
      <c r="AB187" t="s">
        <v>34</v>
      </c>
      <c r="AC187">
        <f>IF(Data_Analyst_Intern_Nikhil_Kumar_February2026[[#This Row],[Status]]="RTO", 1,0)</f>
        <v>0</v>
      </c>
      <c r="AD187">
        <f>IF(Data_Analyst_Intern_Nikhil_Kumar_February2026[[#This Row],[Status]]="Delivered",1,0)</f>
        <v>1</v>
      </c>
      <c r="AE187" t="s">
        <v>47</v>
      </c>
      <c r="AF187">
        <f>IF(AND(Data_Analyst_Intern_Nikhil_Kumar_February2026[[#This Row],[Status]]="Delivered",Data_Analyst_Intern_Nikhil_Kumar_February2026[[#This Row],[Return?]]="Yes"),1,0)</f>
        <v>1</v>
      </c>
      <c r="AG187" t="s">
        <v>139</v>
      </c>
      <c r="AH187" s="1">
        <v>45655</v>
      </c>
      <c r="AI187" t="s">
        <v>49</v>
      </c>
    </row>
    <row r="188" spans="1:35" x14ac:dyDescent="0.3">
      <c r="A188" t="s">
        <v>835</v>
      </c>
      <c r="B188" s="1">
        <v>45614</v>
      </c>
      <c r="C188" s="1" t="str">
        <f>TEXT(Data_Analyst_Intern_Nikhil_Kumar_February2026[[#This Row],[Order Date]], "mmmm")</f>
        <v>November</v>
      </c>
      <c r="D188" s="23">
        <f>WEEKNUM(Data_Analyst_Intern_Nikhil_Kumar_February2026[[#This Row],[Order Date]],2)</f>
        <v>47</v>
      </c>
      <c r="E188" s="23" t="str">
        <f>TEXT(Data_Analyst_Intern_Nikhil_Kumar_February2026[[#This Row],[Order Date]],"dddd")</f>
        <v>Monday</v>
      </c>
      <c r="F188" s="1">
        <v>45614</v>
      </c>
      <c r="G188" s="23" t="str">
        <f>TEXT(WEEKDAY(Data_Analyst_Intern_Nikhil_Kumar_February2026[[#This Row],[Order Date]],2), "dddd")</f>
        <v>Sunday</v>
      </c>
      <c r="H188" t="s">
        <v>836</v>
      </c>
      <c r="I188" t="s">
        <v>25</v>
      </c>
      <c r="J188" t="s">
        <v>837</v>
      </c>
      <c r="K188" t="s">
        <v>41</v>
      </c>
      <c r="L188" t="s">
        <v>838</v>
      </c>
      <c r="M188" s="2">
        <v>3799</v>
      </c>
      <c r="N188">
        <v>1</v>
      </c>
      <c r="O188" s="2">
        <v>3799</v>
      </c>
      <c r="P188" t="s">
        <v>29</v>
      </c>
      <c r="Q188">
        <v>0</v>
      </c>
      <c r="R188" s="4">
        <f>IFERROR(Data_Analyst_Intern_Nikhil_Kumar_February2026[[#This Row],[Total]]/Data_Analyst_Intern_Nikhil_Kumar_February2026[[#This Row],[Discount(%)]],0)</f>
        <v>0</v>
      </c>
      <c r="S188" s="2">
        <f>Data_Analyst_Intern_Nikhil_Kumar_February2026[[#This Row],[Total]]-Data_Analyst_Intern_Nikhil_Kumar_February2026[[#This Row],[Discount Amount]]</f>
        <v>3799</v>
      </c>
      <c r="T188" t="s">
        <v>112</v>
      </c>
      <c r="U188" t="s">
        <v>31</v>
      </c>
      <c r="V188" t="s">
        <v>150</v>
      </c>
      <c r="W188" t="s">
        <v>151</v>
      </c>
      <c r="X188" t="s">
        <v>32</v>
      </c>
      <c r="Y188" s="1">
        <v>45629</v>
      </c>
      <c r="Z188" s="3">
        <f>Data_Analyst_Intern_Nikhil_Kumar_February2026[[#This Row],[Del Date]]-Data_Analyst_Intern_Nikhil_Kumar_February2026[[#This Row],[Order Date]]</f>
        <v>15</v>
      </c>
      <c r="AA188" s="3" t="str" cm="1">
        <f t="array" ref="AA188">_xlfn.IFS(Data_Analyst_Intern_Nikhil_Kumar_February2026[[#This Row],[Del Days]]&lt;=7,"Fast",Data_Analyst_Intern_Nikhil_Kumar_February2026[[#This Row],[Del Days]]&lt;=15,"Standard",Data_Analyst_Intern_Nikhil_Kumar_February2026[[#This Row],[Del Days]]&gt;15,"Slow")</f>
        <v>Standard</v>
      </c>
      <c r="AB188" t="s">
        <v>34</v>
      </c>
      <c r="AC188">
        <f>IF(Data_Analyst_Intern_Nikhil_Kumar_February2026[[#This Row],[Status]]="RTO", 1,0)</f>
        <v>0</v>
      </c>
      <c r="AD188">
        <f>IF(Data_Analyst_Intern_Nikhil_Kumar_February2026[[#This Row],[Status]]="Delivered",1,0)</f>
        <v>1</v>
      </c>
      <c r="AE188" t="s">
        <v>35</v>
      </c>
      <c r="AF188">
        <f>IF(AND(Data_Analyst_Intern_Nikhil_Kumar_February2026[[#This Row],[Status]]="Delivered",Data_Analyst_Intern_Nikhil_Kumar_February2026[[#This Row],[Return?]]="Yes"),1,0)</f>
        <v>0</v>
      </c>
      <c r="AG188" t="s">
        <v>29</v>
      </c>
      <c r="AI188" t="s">
        <v>36</v>
      </c>
    </row>
    <row r="189" spans="1:35" x14ac:dyDescent="0.3">
      <c r="A189" t="s">
        <v>839</v>
      </c>
      <c r="B189" s="1">
        <v>45614</v>
      </c>
      <c r="C189" s="1" t="str">
        <f>TEXT(Data_Analyst_Intern_Nikhil_Kumar_February2026[[#This Row],[Order Date]], "mmmm")</f>
        <v>November</v>
      </c>
      <c r="D189" s="23">
        <f>WEEKNUM(Data_Analyst_Intern_Nikhil_Kumar_February2026[[#This Row],[Order Date]],2)</f>
        <v>47</v>
      </c>
      <c r="E189" s="23" t="str">
        <f>TEXT(Data_Analyst_Intern_Nikhil_Kumar_February2026[[#This Row],[Order Date]],"dddd")</f>
        <v>Monday</v>
      </c>
      <c r="F189" s="1">
        <v>45614</v>
      </c>
      <c r="G189" s="23" t="str">
        <f>TEXT(WEEKDAY(Data_Analyst_Intern_Nikhil_Kumar_February2026[[#This Row],[Order Date]],2), "dddd")</f>
        <v>Sunday</v>
      </c>
      <c r="H189" t="s">
        <v>840</v>
      </c>
      <c r="I189" t="s">
        <v>39</v>
      </c>
      <c r="J189" t="s">
        <v>841</v>
      </c>
      <c r="K189" t="s">
        <v>54</v>
      </c>
      <c r="L189" t="s">
        <v>842</v>
      </c>
      <c r="M189" s="2">
        <v>2299</v>
      </c>
      <c r="N189">
        <v>1</v>
      </c>
      <c r="O189" s="2">
        <v>2299</v>
      </c>
      <c r="P189" t="s">
        <v>29</v>
      </c>
      <c r="Q189">
        <v>0</v>
      </c>
      <c r="R189" s="4">
        <f>IFERROR(Data_Analyst_Intern_Nikhil_Kumar_February2026[[#This Row],[Total]]/Data_Analyst_Intern_Nikhil_Kumar_February2026[[#This Row],[Discount(%)]],0)</f>
        <v>0</v>
      </c>
      <c r="S189" s="2">
        <f>Data_Analyst_Intern_Nikhil_Kumar_February2026[[#This Row],[Total]]-Data_Analyst_Intern_Nikhil_Kumar_February2026[[#This Row],[Discount Amount]]</f>
        <v>2299</v>
      </c>
      <c r="T189" t="s">
        <v>30</v>
      </c>
      <c r="U189" t="s">
        <v>45</v>
      </c>
      <c r="V189" t="s">
        <v>156</v>
      </c>
      <c r="W189" t="s">
        <v>98</v>
      </c>
      <c r="X189" t="s">
        <v>32</v>
      </c>
      <c r="Y189" s="1">
        <v>45627</v>
      </c>
      <c r="Z189" s="3">
        <f>Data_Analyst_Intern_Nikhil_Kumar_February2026[[#This Row],[Del Date]]-Data_Analyst_Intern_Nikhil_Kumar_February2026[[#This Row],[Order Date]]</f>
        <v>13</v>
      </c>
      <c r="AA189" s="3" t="str" cm="1">
        <f t="array" ref="AA189">_xlfn.IFS(Data_Analyst_Intern_Nikhil_Kumar_February2026[[#This Row],[Del Days]]&lt;=7,"Fast",Data_Analyst_Intern_Nikhil_Kumar_February2026[[#This Row],[Del Days]]&lt;=15,"Standard",Data_Analyst_Intern_Nikhil_Kumar_February2026[[#This Row],[Del Days]]&gt;15,"Slow")</f>
        <v>Standard</v>
      </c>
      <c r="AB189" t="s">
        <v>34</v>
      </c>
      <c r="AC189">
        <f>IF(Data_Analyst_Intern_Nikhil_Kumar_February2026[[#This Row],[Status]]="RTO", 1,0)</f>
        <v>0</v>
      </c>
      <c r="AD189">
        <f>IF(Data_Analyst_Intern_Nikhil_Kumar_February2026[[#This Row],[Status]]="Delivered",1,0)</f>
        <v>1</v>
      </c>
      <c r="AE189" t="s">
        <v>47</v>
      </c>
      <c r="AF189">
        <f>IF(AND(Data_Analyst_Intern_Nikhil_Kumar_February2026[[#This Row],[Status]]="Delivered",Data_Analyst_Intern_Nikhil_Kumar_February2026[[#This Row],[Return?]]="Yes"),1,0)</f>
        <v>1</v>
      </c>
      <c r="AG189" t="s">
        <v>48</v>
      </c>
      <c r="AH189" s="1">
        <v>45656</v>
      </c>
      <c r="AI189" t="s">
        <v>49</v>
      </c>
    </row>
    <row r="190" spans="1:35" x14ac:dyDescent="0.3">
      <c r="A190" t="s">
        <v>843</v>
      </c>
      <c r="B190" s="1">
        <v>45614</v>
      </c>
      <c r="C190" s="1" t="str">
        <f>TEXT(Data_Analyst_Intern_Nikhil_Kumar_February2026[[#This Row],[Order Date]], "mmmm")</f>
        <v>November</v>
      </c>
      <c r="D190" s="23">
        <f>WEEKNUM(Data_Analyst_Intern_Nikhil_Kumar_February2026[[#This Row],[Order Date]],2)</f>
        <v>47</v>
      </c>
      <c r="E190" s="23" t="str">
        <f>TEXT(Data_Analyst_Intern_Nikhil_Kumar_February2026[[#This Row],[Order Date]],"dddd")</f>
        <v>Monday</v>
      </c>
      <c r="F190" s="1">
        <v>45614</v>
      </c>
      <c r="G190" s="23" t="str">
        <f>TEXT(WEEKDAY(Data_Analyst_Intern_Nikhil_Kumar_February2026[[#This Row],[Order Date]],2), "dddd")</f>
        <v>Sunday</v>
      </c>
      <c r="H190" t="s">
        <v>844</v>
      </c>
      <c r="I190" t="s">
        <v>25</v>
      </c>
      <c r="J190" t="s">
        <v>845</v>
      </c>
      <c r="K190" t="s">
        <v>62</v>
      </c>
      <c r="L190" t="s">
        <v>846</v>
      </c>
      <c r="M190" s="2">
        <v>5999</v>
      </c>
      <c r="N190">
        <v>1</v>
      </c>
      <c r="O190" s="2">
        <v>5999</v>
      </c>
      <c r="P190" t="s">
        <v>703</v>
      </c>
      <c r="Q190">
        <v>15</v>
      </c>
      <c r="R190" s="4">
        <f>IFERROR(Data_Analyst_Intern_Nikhil_Kumar_February2026[[#This Row],[Total]]/Data_Analyst_Intern_Nikhil_Kumar_February2026[[#This Row],[Discount(%)]],0)</f>
        <v>399.93333333333334</v>
      </c>
      <c r="S190" s="2">
        <f>Data_Analyst_Intern_Nikhil_Kumar_February2026[[#This Row],[Total]]-Data_Analyst_Intern_Nikhil_Kumar_February2026[[#This Row],[Discount Amount]]</f>
        <v>5599.0666666666666</v>
      </c>
      <c r="T190" t="s">
        <v>65</v>
      </c>
      <c r="U190" t="s">
        <v>66</v>
      </c>
      <c r="V190" t="s">
        <v>161</v>
      </c>
      <c r="W190" t="s">
        <v>162</v>
      </c>
      <c r="X190" t="s">
        <v>46</v>
      </c>
      <c r="Y190" s="1">
        <v>45630</v>
      </c>
      <c r="Z190" s="3">
        <f>Data_Analyst_Intern_Nikhil_Kumar_February2026[[#This Row],[Del Date]]-Data_Analyst_Intern_Nikhil_Kumar_February2026[[#This Row],[Order Date]]</f>
        <v>16</v>
      </c>
      <c r="AA190" s="3" t="str" cm="1">
        <f t="array" ref="AA190">_xlfn.IFS(Data_Analyst_Intern_Nikhil_Kumar_February2026[[#This Row],[Del Days]]&lt;=7,"Fast",Data_Analyst_Intern_Nikhil_Kumar_February2026[[#This Row],[Del Days]]&lt;=15,"Standard",Data_Analyst_Intern_Nikhil_Kumar_February2026[[#This Row],[Del Days]]&gt;15,"Slow")</f>
        <v>Slow</v>
      </c>
      <c r="AB190" t="s">
        <v>34</v>
      </c>
      <c r="AC190">
        <f>IF(Data_Analyst_Intern_Nikhil_Kumar_February2026[[#This Row],[Status]]="RTO", 1,0)</f>
        <v>0</v>
      </c>
      <c r="AD190">
        <f>IF(Data_Analyst_Intern_Nikhil_Kumar_February2026[[#This Row],[Status]]="Delivered",1,0)</f>
        <v>1</v>
      </c>
      <c r="AE190" t="s">
        <v>47</v>
      </c>
      <c r="AF190">
        <f>IF(AND(Data_Analyst_Intern_Nikhil_Kumar_February2026[[#This Row],[Status]]="Delivered",Data_Analyst_Intern_Nikhil_Kumar_February2026[[#This Row],[Return?]]="Yes"),1,0)</f>
        <v>1</v>
      </c>
      <c r="AG190" t="s">
        <v>105</v>
      </c>
      <c r="AH190" s="1">
        <v>45659</v>
      </c>
      <c r="AI190" t="s">
        <v>49</v>
      </c>
    </row>
    <row r="191" spans="1:35" x14ac:dyDescent="0.3">
      <c r="A191" t="s">
        <v>847</v>
      </c>
      <c r="B191" s="1">
        <v>45615</v>
      </c>
      <c r="C191" s="1" t="str">
        <f>TEXT(Data_Analyst_Intern_Nikhil_Kumar_February2026[[#This Row],[Order Date]], "mmmm")</f>
        <v>November</v>
      </c>
      <c r="D191" s="23">
        <f>WEEKNUM(Data_Analyst_Intern_Nikhil_Kumar_February2026[[#This Row],[Order Date]],2)</f>
        <v>47</v>
      </c>
      <c r="E191" s="23" t="str">
        <f>TEXT(Data_Analyst_Intern_Nikhil_Kumar_February2026[[#This Row],[Order Date]],"dddd")</f>
        <v>Tuesday</v>
      </c>
      <c r="F191" s="1">
        <v>45614</v>
      </c>
      <c r="G191" s="23" t="str">
        <f>TEXT(WEEKDAY(Data_Analyst_Intern_Nikhil_Kumar_February2026[[#This Row],[Order Date]],2), "dddd")</f>
        <v>Monday</v>
      </c>
      <c r="H191" t="s">
        <v>848</v>
      </c>
      <c r="I191" t="s">
        <v>25</v>
      </c>
      <c r="J191" t="s">
        <v>849</v>
      </c>
      <c r="K191" t="s">
        <v>72</v>
      </c>
      <c r="L191" t="s">
        <v>850</v>
      </c>
      <c r="M191" s="2">
        <v>499</v>
      </c>
      <c r="N191">
        <v>2</v>
      </c>
      <c r="O191" s="2">
        <v>998</v>
      </c>
      <c r="P191" t="s">
        <v>29</v>
      </c>
      <c r="Q191">
        <v>0</v>
      </c>
      <c r="R191" s="4">
        <f>IFERROR(Data_Analyst_Intern_Nikhil_Kumar_February2026[[#This Row],[Total]]/Data_Analyst_Intern_Nikhil_Kumar_February2026[[#This Row],[Discount(%)]],0)</f>
        <v>0</v>
      </c>
      <c r="S191" s="2">
        <f>Data_Analyst_Intern_Nikhil_Kumar_February2026[[#This Row],[Total]]-Data_Analyst_Intern_Nikhil_Kumar_February2026[[#This Row],[Discount Amount]]</f>
        <v>998</v>
      </c>
      <c r="T191" t="s">
        <v>44</v>
      </c>
      <c r="U191" t="s">
        <v>31</v>
      </c>
      <c r="V191" t="s">
        <v>167</v>
      </c>
      <c r="W191" t="s">
        <v>151</v>
      </c>
      <c r="X191" t="s">
        <v>32</v>
      </c>
      <c r="Y191" s="1">
        <v>45628</v>
      </c>
      <c r="Z191" s="3">
        <f>Data_Analyst_Intern_Nikhil_Kumar_February2026[[#This Row],[Del Date]]-Data_Analyst_Intern_Nikhil_Kumar_February2026[[#This Row],[Order Date]]</f>
        <v>13</v>
      </c>
      <c r="AA191" s="3" t="str" cm="1">
        <f t="array" ref="AA191">_xlfn.IFS(Data_Analyst_Intern_Nikhil_Kumar_February2026[[#This Row],[Del Days]]&lt;=7,"Fast",Data_Analyst_Intern_Nikhil_Kumar_February2026[[#This Row],[Del Days]]&lt;=15,"Standard",Data_Analyst_Intern_Nikhil_Kumar_February2026[[#This Row],[Del Days]]&gt;15,"Slow")</f>
        <v>Standard</v>
      </c>
      <c r="AB191" t="s">
        <v>34</v>
      </c>
      <c r="AC191">
        <f>IF(Data_Analyst_Intern_Nikhil_Kumar_February2026[[#This Row],[Status]]="RTO", 1,0)</f>
        <v>0</v>
      </c>
      <c r="AD191">
        <f>IF(Data_Analyst_Intern_Nikhil_Kumar_February2026[[#This Row],[Status]]="Delivered",1,0)</f>
        <v>1</v>
      </c>
      <c r="AE191" t="s">
        <v>35</v>
      </c>
      <c r="AF191">
        <f>IF(AND(Data_Analyst_Intern_Nikhil_Kumar_February2026[[#This Row],[Status]]="Delivered",Data_Analyst_Intern_Nikhil_Kumar_February2026[[#This Row],[Return?]]="Yes"),1,0)</f>
        <v>0</v>
      </c>
      <c r="AG191" t="s">
        <v>29</v>
      </c>
      <c r="AI191" t="s">
        <v>36</v>
      </c>
    </row>
    <row r="192" spans="1:35" x14ac:dyDescent="0.3">
      <c r="A192" t="s">
        <v>851</v>
      </c>
      <c r="B192" s="1">
        <v>45615</v>
      </c>
      <c r="C192" s="1" t="str">
        <f>TEXT(Data_Analyst_Intern_Nikhil_Kumar_February2026[[#This Row],[Order Date]], "mmmm")</f>
        <v>November</v>
      </c>
      <c r="D192" s="23">
        <f>WEEKNUM(Data_Analyst_Intern_Nikhil_Kumar_February2026[[#This Row],[Order Date]],2)</f>
        <v>47</v>
      </c>
      <c r="E192" s="23" t="str">
        <f>TEXT(Data_Analyst_Intern_Nikhil_Kumar_February2026[[#This Row],[Order Date]],"dddd")</f>
        <v>Tuesday</v>
      </c>
      <c r="F192" s="1">
        <v>45614</v>
      </c>
      <c r="G192" s="23" t="str">
        <f>TEXT(WEEKDAY(Data_Analyst_Intern_Nikhil_Kumar_February2026[[#This Row],[Order Date]],2), "dddd")</f>
        <v>Monday</v>
      </c>
      <c r="H192" t="s">
        <v>852</v>
      </c>
      <c r="I192" t="s">
        <v>25</v>
      </c>
      <c r="J192" t="s">
        <v>853</v>
      </c>
      <c r="K192" t="s">
        <v>27</v>
      </c>
      <c r="L192" t="s">
        <v>854</v>
      </c>
      <c r="M192" s="2">
        <v>1799</v>
      </c>
      <c r="N192">
        <v>1</v>
      </c>
      <c r="O192" s="2">
        <v>1799</v>
      </c>
      <c r="P192" t="s">
        <v>29</v>
      </c>
      <c r="Q192">
        <v>0</v>
      </c>
      <c r="R192" s="4">
        <f>IFERROR(Data_Analyst_Intern_Nikhil_Kumar_February2026[[#This Row],[Total]]/Data_Analyst_Intern_Nikhil_Kumar_February2026[[#This Row],[Discount(%)]],0)</f>
        <v>0</v>
      </c>
      <c r="S192" s="2">
        <f>Data_Analyst_Intern_Nikhil_Kumar_February2026[[#This Row],[Total]]-Data_Analyst_Intern_Nikhil_Kumar_February2026[[#This Row],[Discount Amount]]</f>
        <v>1799</v>
      </c>
      <c r="T192" t="s">
        <v>56</v>
      </c>
      <c r="U192" t="s">
        <v>45</v>
      </c>
      <c r="V192" t="s">
        <v>172</v>
      </c>
      <c r="W192" t="s">
        <v>33</v>
      </c>
      <c r="X192" t="s">
        <v>32</v>
      </c>
      <c r="Y192" s="1"/>
      <c r="Z192" s="1">
        <f>Data_Analyst_Intern_Nikhil_Kumar_February2026[[#This Row],[Del Date]]-Data_Analyst_Intern_Nikhil_Kumar_February2026[[#This Row],[Order Date]]</f>
        <v>-45615</v>
      </c>
      <c r="AA192" s="1" t="str" cm="1">
        <f t="array" ref="AA192">_xlfn.IFS(Data_Analyst_Intern_Nikhil_Kumar_February2026[[#This Row],[Del Days]]&lt;=7,"Fast",Data_Analyst_Intern_Nikhil_Kumar_February2026[[#This Row],[Del Days]]&lt;=15,"Standard",Data_Analyst_Intern_Nikhil_Kumar_February2026[[#This Row],[Del Days]]&gt;15,"Slow")</f>
        <v>Fast</v>
      </c>
      <c r="AB192" t="s">
        <v>121</v>
      </c>
      <c r="AC192">
        <f>IF(Data_Analyst_Intern_Nikhil_Kumar_February2026[[#This Row],[Status]]="RTO", 1,0)</f>
        <v>1</v>
      </c>
      <c r="AD192">
        <f>IF(Data_Analyst_Intern_Nikhil_Kumar_February2026[[#This Row],[Status]]="Delivered",1,0)</f>
        <v>0</v>
      </c>
      <c r="AE192" t="s">
        <v>35</v>
      </c>
      <c r="AF192">
        <f>IF(AND(Data_Analyst_Intern_Nikhil_Kumar_February2026[[#This Row],[Status]]="Delivered",Data_Analyst_Intern_Nikhil_Kumar_February2026[[#This Row],[Return?]]="Yes"),1,0)</f>
        <v>0</v>
      </c>
      <c r="AG192" t="s">
        <v>29</v>
      </c>
      <c r="AI192" t="s">
        <v>36</v>
      </c>
    </row>
    <row r="193" spans="1:35" x14ac:dyDescent="0.3">
      <c r="A193" t="s">
        <v>855</v>
      </c>
      <c r="B193" s="1">
        <v>45615</v>
      </c>
      <c r="C193" s="1" t="str">
        <f>TEXT(Data_Analyst_Intern_Nikhil_Kumar_February2026[[#This Row],[Order Date]], "mmmm")</f>
        <v>November</v>
      </c>
      <c r="D193" s="23">
        <f>WEEKNUM(Data_Analyst_Intern_Nikhil_Kumar_February2026[[#This Row],[Order Date]],2)</f>
        <v>47</v>
      </c>
      <c r="E193" s="23" t="str">
        <f>TEXT(Data_Analyst_Intern_Nikhil_Kumar_February2026[[#This Row],[Order Date]],"dddd")</f>
        <v>Tuesday</v>
      </c>
      <c r="F193" s="1">
        <v>45614</v>
      </c>
      <c r="G193" s="23" t="str">
        <f>TEXT(WEEKDAY(Data_Analyst_Intern_Nikhil_Kumar_February2026[[#This Row],[Order Date]],2), "dddd")</f>
        <v>Monday</v>
      </c>
      <c r="H193" t="s">
        <v>856</v>
      </c>
      <c r="I193" t="s">
        <v>25</v>
      </c>
      <c r="J193" t="s">
        <v>857</v>
      </c>
      <c r="K193" t="s">
        <v>41</v>
      </c>
      <c r="L193" t="s">
        <v>858</v>
      </c>
      <c r="M193" s="2">
        <v>2999</v>
      </c>
      <c r="N193">
        <v>1</v>
      </c>
      <c r="O193" s="2">
        <v>2999</v>
      </c>
      <c r="P193" t="s">
        <v>29</v>
      </c>
      <c r="Q193">
        <v>0</v>
      </c>
      <c r="R193" s="4">
        <f>IFERROR(Data_Analyst_Intern_Nikhil_Kumar_February2026[[#This Row],[Total]]/Data_Analyst_Intern_Nikhil_Kumar_February2026[[#This Row],[Discount(%)]],0)</f>
        <v>0</v>
      </c>
      <c r="S193" s="2">
        <f>Data_Analyst_Intern_Nikhil_Kumar_February2026[[#This Row],[Total]]-Data_Analyst_Intern_Nikhil_Kumar_February2026[[#This Row],[Discount Amount]]</f>
        <v>2999</v>
      </c>
      <c r="T193" t="s">
        <v>30</v>
      </c>
      <c r="U193" t="s">
        <v>66</v>
      </c>
      <c r="V193" t="s">
        <v>177</v>
      </c>
      <c r="W193" t="s">
        <v>68</v>
      </c>
      <c r="X193" t="s">
        <v>57</v>
      </c>
      <c r="Y193" s="1">
        <v>45631</v>
      </c>
      <c r="Z193" s="3">
        <f>Data_Analyst_Intern_Nikhil_Kumar_February2026[[#This Row],[Del Date]]-Data_Analyst_Intern_Nikhil_Kumar_February2026[[#This Row],[Order Date]]</f>
        <v>16</v>
      </c>
      <c r="AA193" s="3" t="str" cm="1">
        <f t="array" ref="AA193">_xlfn.IFS(Data_Analyst_Intern_Nikhil_Kumar_February2026[[#This Row],[Del Days]]&lt;=7,"Fast",Data_Analyst_Intern_Nikhil_Kumar_February2026[[#This Row],[Del Days]]&lt;=15,"Standard",Data_Analyst_Intern_Nikhil_Kumar_February2026[[#This Row],[Del Days]]&gt;15,"Slow")</f>
        <v>Slow</v>
      </c>
      <c r="AB193" t="s">
        <v>34</v>
      </c>
      <c r="AC193">
        <f>IF(Data_Analyst_Intern_Nikhil_Kumar_February2026[[#This Row],[Status]]="RTO", 1,0)</f>
        <v>0</v>
      </c>
      <c r="AD193">
        <f>IF(Data_Analyst_Intern_Nikhil_Kumar_February2026[[#This Row],[Status]]="Delivered",1,0)</f>
        <v>1</v>
      </c>
      <c r="AE193" t="s">
        <v>47</v>
      </c>
      <c r="AF193">
        <f>IF(AND(Data_Analyst_Intern_Nikhil_Kumar_February2026[[#This Row],[Status]]="Delivered",Data_Analyst_Intern_Nikhil_Kumar_February2026[[#This Row],[Return?]]="Yes"),1,0)</f>
        <v>1</v>
      </c>
      <c r="AG193" t="s">
        <v>80</v>
      </c>
      <c r="AH193" s="1">
        <v>45660</v>
      </c>
      <c r="AI193" t="s">
        <v>49</v>
      </c>
    </row>
    <row r="194" spans="1:35" x14ac:dyDescent="0.3">
      <c r="A194" t="s">
        <v>859</v>
      </c>
      <c r="B194" s="1">
        <v>45616</v>
      </c>
      <c r="C194" s="1" t="str">
        <f>TEXT(Data_Analyst_Intern_Nikhil_Kumar_February2026[[#This Row],[Order Date]], "mmmm")</f>
        <v>November</v>
      </c>
      <c r="D194" s="23">
        <f>WEEKNUM(Data_Analyst_Intern_Nikhil_Kumar_February2026[[#This Row],[Order Date]],2)</f>
        <v>47</v>
      </c>
      <c r="E194" s="23" t="str">
        <f>TEXT(Data_Analyst_Intern_Nikhil_Kumar_February2026[[#This Row],[Order Date]],"dddd")</f>
        <v>Wednesday</v>
      </c>
      <c r="F194" s="1">
        <v>45614</v>
      </c>
      <c r="G194" s="23" t="str">
        <f>TEXT(WEEKDAY(Data_Analyst_Intern_Nikhil_Kumar_February2026[[#This Row],[Order Date]],2), "dddd")</f>
        <v>Tuesday</v>
      </c>
      <c r="H194" t="s">
        <v>860</v>
      </c>
      <c r="I194" t="s">
        <v>39</v>
      </c>
      <c r="J194" t="s">
        <v>861</v>
      </c>
      <c r="K194" t="s">
        <v>54</v>
      </c>
      <c r="L194" t="s">
        <v>862</v>
      </c>
      <c r="M194" s="2">
        <v>2199</v>
      </c>
      <c r="N194">
        <v>1</v>
      </c>
      <c r="O194" s="2">
        <v>2199</v>
      </c>
      <c r="P194" t="s">
        <v>703</v>
      </c>
      <c r="Q194">
        <v>15</v>
      </c>
      <c r="R194" s="4">
        <f>IFERROR(Data_Analyst_Intern_Nikhil_Kumar_February2026[[#This Row],[Total]]/Data_Analyst_Intern_Nikhil_Kumar_February2026[[#This Row],[Discount(%)]],0)</f>
        <v>146.6</v>
      </c>
      <c r="S194" s="2">
        <f>Data_Analyst_Intern_Nikhil_Kumar_February2026[[#This Row],[Total]]-Data_Analyst_Intern_Nikhil_Kumar_February2026[[#This Row],[Discount Amount]]</f>
        <v>2052.4</v>
      </c>
      <c r="T194" t="s">
        <v>112</v>
      </c>
      <c r="U194" t="s">
        <v>31</v>
      </c>
      <c r="V194" t="s">
        <v>182</v>
      </c>
      <c r="W194" t="s">
        <v>183</v>
      </c>
      <c r="X194" t="s">
        <v>57</v>
      </c>
      <c r="Y194" s="1">
        <v>45629</v>
      </c>
      <c r="Z194" s="3">
        <f>Data_Analyst_Intern_Nikhil_Kumar_February2026[[#This Row],[Del Date]]-Data_Analyst_Intern_Nikhil_Kumar_February2026[[#This Row],[Order Date]]</f>
        <v>13</v>
      </c>
      <c r="AA194" s="3" t="str" cm="1">
        <f t="array" ref="AA194">_xlfn.IFS(Data_Analyst_Intern_Nikhil_Kumar_February2026[[#This Row],[Del Days]]&lt;=7,"Fast",Data_Analyst_Intern_Nikhil_Kumar_February2026[[#This Row],[Del Days]]&lt;=15,"Standard",Data_Analyst_Intern_Nikhil_Kumar_February2026[[#This Row],[Del Days]]&gt;15,"Slow")</f>
        <v>Standard</v>
      </c>
      <c r="AB194" t="s">
        <v>34</v>
      </c>
      <c r="AC194">
        <f>IF(Data_Analyst_Intern_Nikhil_Kumar_February2026[[#This Row],[Status]]="RTO", 1,0)</f>
        <v>0</v>
      </c>
      <c r="AD194">
        <f>IF(Data_Analyst_Intern_Nikhil_Kumar_February2026[[#This Row],[Status]]="Delivered",1,0)</f>
        <v>1</v>
      </c>
      <c r="AE194" t="s">
        <v>35</v>
      </c>
      <c r="AF194">
        <f>IF(AND(Data_Analyst_Intern_Nikhil_Kumar_February2026[[#This Row],[Status]]="Delivered",Data_Analyst_Intern_Nikhil_Kumar_February2026[[#This Row],[Return?]]="Yes"),1,0)</f>
        <v>0</v>
      </c>
      <c r="AG194" t="s">
        <v>29</v>
      </c>
      <c r="AI194" t="s">
        <v>36</v>
      </c>
    </row>
    <row r="195" spans="1:35" x14ac:dyDescent="0.3">
      <c r="A195" t="s">
        <v>863</v>
      </c>
      <c r="B195" s="1">
        <v>45616</v>
      </c>
      <c r="C195" s="1" t="str">
        <f>TEXT(Data_Analyst_Intern_Nikhil_Kumar_February2026[[#This Row],[Order Date]], "mmmm")</f>
        <v>November</v>
      </c>
      <c r="D195" s="23">
        <f>WEEKNUM(Data_Analyst_Intern_Nikhil_Kumar_February2026[[#This Row],[Order Date]],2)</f>
        <v>47</v>
      </c>
      <c r="E195" s="23" t="str">
        <f>TEXT(Data_Analyst_Intern_Nikhil_Kumar_February2026[[#This Row],[Order Date]],"dddd")</f>
        <v>Wednesday</v>
      </c>
      <c r="F195" s="1">
        <v>45614</v>
      </c>
      <c r="G195" s="23" t="str">
        <f>TEXT(WEEKDAY(Data_Analyst_Intern_Nikhil_Kumar_February2026[[#This Row],[Order Date]],2), "dddd")</f>
        <v>Tuesday</v>
      </c>
      <c r="H195" t="s">
        <v>864</v>
      </c>
      <c r="I195" t="s">
        <v>25</v>
      </c>
      <c r="J195" t="s">
        <v>865</v>
      </c>
      <c r="K195" t="s">
        <v>62</v>
      </c>
      <c r="L195" t="s">
        <v>866</v>
      </c>
      <c r="M195" s="2">
        <v>4899</v>
      </c>
      <c r="N195">
        <v>1</v>
      </c>
      <c r="O195" s="2">
        <v>4899</v>
      </c>
      <c r="P195" t="s">
        <v>29</v>
      </c>
      <c r="Q195">
        <v>0</v>
      </c>
      <c r="R195" s="4">
        <f>IFERROR(Data_Analyst_Intern_Nikhil_Kumar_February2026[[#This Row],[Total]]/Data_Analyst_Intern_Nikhil_Kumar_February2026[[#This Row],[Discount(%)]],0)</f>
        <v>0</v>
      </c>
      <c r="S195" s="2">
        <f>Data_Analyst_Intern_Nikhil_Kumar_February2026[[#This Row],[Total]]-Data_Analyst_Intern_Nikhil_Kumar_February2026[[#This Row],[Discount Amount]]</f>
        <v>4899</v>
      </c>
      <c r="T195" t="s">
        <v>65</v>
      </c>
      <c r="U195" t="s">
        <v>45</v>
      </c>
      <c r="V195" t="s">
        <v>188</v>
      </c>
      <c r="W195" t="s">
        <v>189</v>
      </c>
      <c r="X195" t="s">
        <v>57</v>
      </c>
      <c r="Y195" s="1">
        <v>45632</v>
      </c>
      <c r="Z195" s="3">
        <f>Data_Analyst_Intern_Nikhil_Kumar_February2026[[#This Row],[Del Date]]-Data_Analyst_Intern_Nikhil_Kumar_February2026[[#This Row],[Order Date]]</f>
        <v>16</v>
      </c>
      <c r="AA195" s="3" t="str" cm="1">
        <f t="array" ref="AA195">_xlfn.IFS(Data_Analyst_Intern_Nikhil_Kumar_February2026[[#This Row],[Del Days]]&lt;=7,"Fast",Data_Analyst_Intern_Nikhil_Kumar_February2026[[#This Row],[Del Days]]&lt;=15,"Standard",Data_Analyst_Intern_Nikhil_Kumar_February2026[[#This Row],[Del Days]]&gt;15,"Slow")</f>
        <v>Slow</v>
      </c>
      <c r="AB195" t="s">
        <v>34</v>
      </c>
      <c r="AC195">
        <f>IF(Data_Analyst_Intern_Nikhil_Kumar_February2026[[#This Row],[Status]]="RTO", 1,0)</f>
        <v>0</v>
      </c>
      <c r="AD195">
        <f>IF(Data_Analyst_Intern_Nikhil_Kumar_February2026[[#This Row],[Status]]="Delivered",1,0)</f>
        <v>1</v>
      </c>
      <c r="AE195" t="s">
        <v>47</v>
      </c>
      <c r="AF195">
        <f>IF(AND(Data_Analyst_Intern_Nikhil_Kumar_February2026[[#This Row],[Status]]="Delivered",Data_Analyst_Intern_Nikhil_Kumar_February2026[[#This Row],[Return?]]="Yes"),1,0)</f>
        <v>1</v>
      </c>
      <c r="AG195" t="s">
        <v>69</v>
      </c>
      <c r="AH195" s="1">
        <v>45661</v>
      </c>
      <c r="AI195" t="s">
        <v>49</v>
      </c>
    </row>
    <row r="196" spans="1:35" x14ac:dyDescent="0.3">
      <c r="A196" t="s">
        <v>867</v>
      </c>
      <c r="B196" s="1">
        <v>45616</v>
      </c>
      <c r="C196" s="1" t="str">
        <f>TEXT(Data_Analyst_Intern_Nikhil_Kumar_February2026[[#This Row],[Order Date]], "mmmm")</f>
        <v>November</v>
      </c>
      <c r="D196" s="23">
        <f>WEEKNUM(Data_Analyst_Intern_Nikhil_Kumar_February2026[[#This Row],[Order Date]],2)</f>
        <v>47</v>
      </c>
      <c r="E196" s="23" t="str">
        <f>TEXT(Data_Analyst_Intern_Nikhil_Kumar_February2026[[#This Row],[Order Date]],"dddd")</f>
        <v>Wednesday</v>
      </c>
      <c r="F196" s="1">
        <v>45614</v>
      </c>
      <c r="G196" s="23" t="str">
        <f>TEXT(WEEKDAY(Data_Analyst_Intern_Nikhil_Kumar_February2026[[#This Row],[Order Date]],2), "dddd")</f>
        <v>Tuesday</v>
      </c>
      <c r="H196" t="s">
        <v>868</v>
      </c>
      <c r="I196" t="s">
        <v>25</v>
      </c>
      <c r="J196" t="s">
        <v>869</v>
      </c>
      <c r="K196" t="s">
        <v>72</v>
      </c>
      <c r="L196" t="s">
        <v>870</v>
      </c>
      <c r="M196" s="2">
        <v>799</v>
      </c>
      <c r="N196">
        <v>1</v>
      </c>
      <c r="O196" s="2">
        <v>799</v>
      </c>
      <c r="P196" t="s">
        <v>29</v>
      </c>
      <c r="Q196">
        <v>0</v>
      </c>
      <c r="R196" s="4">
        <f>IFERROR(Data_Analyst_Intern_Nikhil_Kumar_February2026[[#This Row],[Total]]/Data_Analyst_Intern_Nikhil_Kumar_February2026[[#This Row],[Discount(%)]],0)</f>
        <v>0</v>
      </c>
      <c r="S196" s="2">
        <f>Data_Analyst_Intern_Nikhil_Kumar_February2026[[#This Row],[Total]]-Data_Analyst_Intern_Nikhil_Kumar_February2026[[#This Row],[Discount Amount]]</f>
        <v>799</v>
      </c>
      <c r="T196" t="s">
        <v>44</v>
      </c>
      <c r="U196" t="s">
        <v>66</v>
      </c>
      <c r="V196" t="s">
        <v>194</v>
      </c>
      <c r="W196" t="s">
        <v>183</v>
      </c>
      <c r="X196" t="s">
        <v>57</v>
      </c>
      <c r="Y196" s="1">
        <v>45630</v>
      </c>
      <c r="Z196" s="3">
        <f>Data_Analyst_Intern_Nikhil_Kumar_February2026[[#This Row],[Del Date]]-Data_Analyst_Intern_Nikhil_Kumar_February2026[[#This Row],[Order Date]]</f>
        <v>14</v>
      </c>
      <c r="AA196" s="3" t="str" cm="1">
        <f t="array" ref="AA196">_xlfn.IFS(Data_Analyst_Intern_Nikhil_Kumar_February2026[[#This Row],[Del Days]]&lt;=7,"Fast",Data_Analyst_Intern_Nikhil_Kumar_February2026[[#This Row],[Del Days]]&lt;=15,"Standard",Data_Analyst_Intern_Nikhil_Kumar_February2026[[#This Row],[Del Days]]&gt;15,"Slow")</f>
        <v>Standard</v>
      </c>
      <c r="AB196" t="s">
        <v>34</v>
      </c>
      <c r="AC196">
        <f>IF(Data_Analyst_Intern_Nikhil_Kumar_February2026[[#This Row],[Status]]="RTO", 1,0)</f>
        <v>0</v>
      </c>
      <c r="AD196">
        <f>IF(Data_Analyst_Intern_Nikhil_Kumar_February2026[[#This Row],[Status]]="Delivered",1,0)</f>
        <v>1</v>
      </c>
      <c r="AE196" t="s">
        <v>35</v>
      </c>
      <c r="AF196">
        <f>IF(AND(Data_Analyst_Intern_Nikhil_Kumar_February2026[[#This Row],[Status]]="Delivered",Data_Analyst_Intern_Nikhil_Kumar_February2026[[#This Row],[Return?]]="Yes"),1,0)</f>
        <v>0</v>
      </c>
      <c r="AG196" t="s">
        <v>29</v>
      </c>
      <c r="AI196" t="s">
        <v>36</v>
      </c>
    </row>
    <row r="197" spans="1:35" x14ac:dyDescent="0.3">
      <c r="A197" t="s">
        <v>871</v>
      </c>
      <c r="B197" s="1">
        <v>45617</v>
      </c>
      <c r="C197" s="1" t="str">
        <f>TEXT(Data_Analyst_Intern_Nikhil_Kumar_February2026[[#This Row],[Order Date]], "mmmm")</f>
        <v>November</v>
      </c>
      <c r="D197" s="23">
        <f>WEEKNUM(Data_Analyst_Intern_Nikhil_Kumar_February2026[[#This Row],[Order Date]],2)</f>
        <v>47</v>
      </c>
      <c r="E197" s="23" t="str">
        <f>TEXT(Data_Analyst_Intern_Nikhil_Kumar_February2026[[#This Row],[Order Date]],"dddd")</f>
        <v>Thursday</v>
      </c>
      <c r="F197" s="1">
        <v>45614</v>
      </c>
      <c r="G197" s="23" t="str">
        <f>TEXT(WEEKDAY(Data_Analyst_Intern_Nikhil_Kumar_February2026[[#This Row],[Order Date]],2), "dddd")</f>
        <v>Wednesday</v>
      </c>
      <c r="H197" t="s">
        <v>872</v>
      </c>
      <c r="I197" t="s">
        <v>25</v>
      </c>
      <c r="J197" t="s">
        <v>873</v>
      </c>
      <c r="K197" t="s">
        <v>27</v>
      </c>
      <c r="L197" t="s">
        <v>874</v>
      </c>
      <c r="M197" s="2">
        <v>1999</v>
      </c>
      <c r="N197">
        <v>1</v>
      </c>
      <c r="O197" s="2">
        <v>1999</v>
      </c>
      <c r="P197" t="s">
        <v>29</v>
      </c>
      <c r="Q197">
        <v>0</v>
      </c>
      <c r="R197" s="4">
        <f>IFERROR(Data_Analyst_Intern_Nikhil_Kumar_February2026[[#This Row],[Total]]/Data_Analyst_Intern_Nikhil_Kumar_February2026[[#This Row],[Discount(%)]],0)</f>
        <v>0</v>
      </c>
      <c r="S197" s="2">
        <f>Data_Analyst_Intern_Nikhil_Kumar_February2026[[#This Row],[Total]]-Data_Analyst_Intern_Nikhil_Kumar_February2026[[#This Row],[Discount Amount]]</f>
        <v>1999</v>
      </c>
      <c r="T197" t="s">
        <v>30</v>
      </c>
      <c r="U197" t="s">
        <v>31</v>
      </c>
      <c r="V197" t="s">
        <v>199</v>
      </c>
      <c r="W197" t="s">
        <v>58</v>
      </c>
      <c r="X197" t="s">
        <v>57</v>
      </c>
      <c r="Y197" s="1">
        <v>45631</v>
      </c>
      <c r="Z197" s="3">
        <f>Data_Analyst_Intern_Nikhil_Kumar_February2026[[#This Row],[Del Date]]-Data_Analyst_Intern_Nikhil_Kumar_February2026[[#This Row],[Order Date]]</f>
        <v>14</v>
      </c>
      <c r="AA197" s="3" t="str" cm="1">
        <f t="array" ref="AA197">_xlfn.IFS(Data_Analyst_Intern_Nikhil_Kumar_February2026[[#This Row],[Del Days]]&lt;=7,"Fast",Data_Analyst_Intern_Nikhil_Kumar_February2026[[#This Row],[Del Days]]&lt;=15,"Standard",Data_Analyst_Intern_Nikhil_Kumar_February2026[[#This Row],[Del Days]]&gt;15,"Slow")</f>
        <v>Standard</v>
      </c>
      <c r="AB197" t="s">
        <v>34</v>
      </c>
      <c r="AC197">
        <f>IF(Data_Analyst_Intern_Nikhil_Kumar_February2026[[#This Row],[Status]]="RTO", 1,0)</f>
        <v>0</v>
      </c>
      <c r="AD197">
        <f>IF(Data_Analyst_Intern_Nikhil_Kumar_February2026[[#This Row],[Status]]="Delivered",1,0)</f>
        <v>1</v>
      </c>
      <c r="AE197" t="s">
        <v>47</v>
      </c>
      <c r="AF197">
        <f>IF(AND(Data_Analyst_Intern_Nikhil_Kumar_February2026[[#This Row],[Status]]="Delivered",Data_Analyst_Intern_Nikhil_Kumar_February2026[[#This Row],[Return?]]="Yes"),1,0)</f>
        <v>1</v>
      </c>
      <c r="AG197" t="s">
        <v>48</v>
      </c>
      <c r="AH197" s="1">
        <v>45660</v>
      </c>
      <c r="AI197" t="s">
        <v>49</v>
      </c>
    </row>
    <row r="198" spans="1:35" x14ac:dyDescent="0.3">
      <c r="A198" t="s">
        <v>875</v>
      </c>
      <c r="B198" s="1">
        <v>45617</v>
      </c>
      <c r="C198" s="1" t="str">
        <f>TEXT(Data_Analyst_Intern_Nikhil_Kumar_February2026[[#This Row],[Order Date]], "mmmm")</f>
        <v>November</v>
      </c>
      <c r="D198" s="23">
        <f>WEEKNUM(Data_Analyst_Intern_Nikhil_Kumar_February2026[[#This Row],[Order Date]],2)</f>
        <v>47</v>
      </c>
      <c r="E198" s="23" t="str">
        <f>TEXT(Data_Analyst_Intern_Nikhil_Kumar_February2026[[#This Row],[Order Date]],"dddd")</f>
        <v>Thursday</v>
      </c>
      <c r="F198" s="1">
        <v>45614</v>
      </c>
      <c r="G198" s="23" t="str">
        <f>TEXT(WEEKDAY(Data_Analyst_Intern_Nikhil_Kumar_February2026[[#This Row],[Order Date]],2), "dddd")</f>
        <v>Wednesday</v>
      </c>
      <c r="H198" t="s">
        <v>876</v>
      </c>
      <c r="I198" t="s">
        <v>25</v>
      </c>
      <c r="J198" t="s">
        <v>877</v>
      </c>
      <c r="K198" t="s">
        <v>41</v>
      </c>
      <c r="L198" t="s">
        <v>878</v>
      </c>
      <c r="M198" s="2">
        <v>3499</v>
      </c>
      <c r="N198">
        <v>1</v>
      </c>
      <c r="O198" s="2">
        <v>3499</v>
      </c>
      <c r="P198" t="s">
        <v>703</v>
      </c>
      <c r="Q198">
        <v>15</v>
      </c>
      <c r="R198" s="4">
        <f>IFERROR(Data_Analyst_Intern_Nikhil_Kumar_February2026[[#This Row],[Total]]/Data_Analyst_Intern_Nikhil_Kumar_February2026[[#This Row],[Discount(%)]],0)</f>
        <v>233.26666666666668</v>
      </c>
      <c r="S198" s="2">
        <f>Data_Analyst_Intern_Nikhil_Kumar_February2026[[#This Row],[Total]]-Data_Analyst_Intern_Nikhil_Kumar_February2026[[#This Row],[Discount Amount]]</f>
        <v>3265.7333333333331</v>
      </c>
      <c r="T198" t="s">
        <v>56</v>
      </c>
      <c r="U198" t="s">
        <v>45</v>
      </c>
      <c r="V198" t="s">
        <v>204</v>
      </c>
      <c r="W198" t="s">
        <v>98</v>
      </c>
      <c r="X198" t="s">
        <v>32</v>
      </c>
      <c r="Y198" s="1">
        <v>45633</v>
      </c>
      <c r="Z198" s="3">
        <f>Data_Analyst_Intern_Nikhil_Kumar_February2026[[#This Row],[Del Date]]-Data_Analyst_Intern_Nikhil_Kumar_February2026[[#This Row],[Order Date]]</f>
        <v>16</v>
      </c>
      <c r="AA198" s="3" t="str" cm="1">
        <f t="array" ref="AA198">_xlfn.IFS(Data_Analyst_Intern_Nikhil_Kumar_February2026[[#This Row],[Del Days]]&lt;=7,"Fast",Data_Analyst_Intern_Nikhil_Kumar_February2026[[#This Row],[Del Days]]&lt;=15,"Standard",Data_Analyst_Intern_Nikhil_Kumar_February2026[[#This Row],[Del Days]]&gt;15,"Slow")</f>
        <v>Slow</v>
      </c>
      <c r="AB198" t="s">
        <v>34</v>
      </c>
      <c r="AC198">
        <f>IF(Data_Analyst_Intern_Nikhil_Kumar_February2026[[#This Row],[Status]]="RTO", 1,0)</f>
        <v>0</v>
      </c>
      <c r="AD198">
        <f>IF(Data_Analyst_Intern_Nikhil_Kumar_February2026[[#This Row],[Status]]="Delivered",1,0)</f>
        <v>1</v>
      </c>
      <c r="AE198" t="s">
        <v>47</v>
      </c>
      <c r="AF198">
        <f>IF(AND(Data_Analyst_Intern_Nikhil_Kumar_February2026[[#This Row],[Status]]="Delivered",Data_Analyst_Intern_Nikhil_Kumar_February2026[[#This Row],[Return?]]="Yes"),1,0)</f>
        <v>1</v>
      </c>
      <c r="AG198" t="s">
        <v>105</v>
      </c>
      <c r="AH198" s="1">
        <v>45662</v>
      </c>
      <c r="AI198" t="s">
        <v>49</v>
      </c>
    </row>
    <row r="199" spans="1:35" x14ac:dyDescent="0.3">
      <c r="A199" t="s">
        <v>879</v>
      </c>
      <c r="B199" s="1">
        <v>45617</v>
      </c>
      <c r="C199" s="1" t="str">
        <f>TEXT(Data_Analyst_Intern_Nikhil_Kumar_February2026[[#This Row],[Order Date]], "mmmm")</f>
        <v>November</v>
      </c>
      <c r="D199" s="23">
        <f>WEEKNUM(Data_Analyst_Intern_Nikhil_Kumar_February2026[[#This Row],[Order Date]],2)</f>
        <v>47</v>
      </c>
      <c r="E199" s="23" t="str">
        <f>TEXT(Data_Analyst_Intern_Nikhil_Kumar_February2026[[#This Row],[Order Date]],"dddd")</f>
        <v>Thursday</v>
      </c>
      <c r="F199" s="1">
        <v>45614</v>
      </c>
      <c r="G199" s="23" t="str">
        <f>TEXT(WEEKDAY(Data_Analyst_Intern_Nikhil_Kumar_February2026[[#This Row],[Order Date]],2), "dddd")</f>
        <v>Wednesday</v>
      </c>
      <c r="H199" t="s">
        <v>880</v>
      </c>
      <c r="I199" t="s">
        <v>39</v>
      </c>
      <c r="J199" t="s">
        <v>881</v>
      </c>
      <c r="K199" t="s">
        <v>54</v>
      </c>
      <c r="L199" t="s">
        <v>882</v>
      </c>
      <c r="M199" s="2">
        <v>2599</v>
      </c>
      <c r="N199">
        <v>1</v>
      </c>
      <c r="O199" s="2">
        <v>2599</v>
      </c>
      <c r="P199" t="s">
        <v>29</v>
      </c>
      <c r="Q199">
        <v>0</v>
      </c>
      <c r="R199" s="4">
        <f>IFERROR(Data_Analyst_Intern_Nikhil_Kumar_February2026[[#This Row],[Total]]/Data_Analyst_Intern_Nikhil_Kumar_February2026[[#This Row],[Discount(%)]],0)</f>
        <v>0</v>
      </c>
      <c r="S199" s="2">
        <f>Data_Analyst_Intern_Nikhil_Kumar_February2026[[#This Row],[Total]]-Data_Analyst_Intern_Nikhil_Kumar_February2026[[#This Row],[Discount Amount]]</f>
        <v>2599</v>
      </c>
      <c r="T199" t="s">
        <v>44</v>
      </c>
      <c r="U199" t="s">
        <v>66</v>
      </c>
      <c r="V199" t="s">
        <v>209</v>
      </c>
      <c r="W199" t="s">
        <v>98</v>
      </c>
      <c r="X199" t="s">
        <v>32</v>
      </c>
      <c r="Y199" s="1">
        <v>45631</v>
      </c>
      <c r="Z199" s="3">
        <f>Data_Analyst_Intern_Nikhil_Kumar_February2026[[#This Row],[Del Date]]-Data_Analyst_Intern_Nikhil_Kumar_February2026[[#This Row],[Order Date]]</f>
        <v>14</v>
      </c>
      <c r="AA199" s="3" t="str" cm="1">
        <f t="array" ref="AA199">_xlfn.IFS(Data_Analyst_Intern_Nikhil_Kumar_February2026[[#This Row],[Del Days]]&lt;=7,"Fast",Data_Analyst_Intern_Nikhil_Kumar_February2026[[#This Row],[Del Days]]&lt;=15,"Standard",Data_Analyst_Intern_Nikhil_Kumar_February2026[[#This Row],[Del Days]]&gt;15,"Slow")</f>
        <v>Standard</v>
      </c>
      <c r="AB199" t="s">
        <v>34</v>
      </c>
      <c r="AC199">
        <f>IF(Data_Analyst_Intern_Nikhil_Kumar_February2026[[#This Row],[Status]]="RTO", 1,0)</f>
        <v>0</v>
      </c>
      <c r="AD199">
        <f>IF(Data_Analyst_Intern_Nikhil_Kumar_February2026[[#This Row],[Status]]="Delivered",1,0)</f>
        <v>1</v>
      </c>
      <c r="AE199" t="s">
        <v>35</v>
      </c>
      <c r="AF199">
        <f>IF(AND(Data_Analyst_Intern_Nikhil_Kumar_February2026[[#This Row],[Status]]="Delivered",Data_Analyst_Intern_Nikhil_Kumar_February2026[[#This Row],[Return?]]="Yes"),1,0)</f>
        <v>0</v>
      </c>
      <c r="AG199" t="s">
        <v>29</v>
      </c>
      <c r="AI199" t="s">
        <v>36</v>
      </c>
    </row>
    <row r="200" spans="1:35" x14ac:dyDescent="0.3">
      <c r="A200" t="s">
        <v>883</v>
      </c>
      <c r="B200" s="1">
        <v>45618</v>
      </c>
      <c r="C200" s="1" t="str">
        <f>TEXT(Data_Analyst_Intern_Nikhil_Kumar_February2026[[#This Row],[Order Date]], "mmmm")</f>
        <v>November</v>
      </c>
      <c r="D200" s="23">
        <f>WEEKNUM(Data_Analyst_Intern_Nikhil_Kumar_February2026[[#This Row],[Order Date]],2)</f>
        <v>47</v>
      </c>
      <c r="E200" s="23" t="str">
        <f>TEXT(Data_Analyst_Intern_Nikhil_Kumar_February2026[[#This Row],[Order Date]],"dddd")</f>
        <v>Friday</v>
      </c>
      <c r="F200" s="1">
        <v>45614</v>
      </c>
      <c r="G200" s="23" t="str">
        <f>TEXT(WEEKDAY(Data_Analyst_Intern_Nikhil_Kumar_February2026[[#This Row],[Order Date]],2), "dddd")</f>
        <v>Thursday</v>
      </c>
      <c r="H200" t="s">
        <v>884</v>
      </c>
      <c r="I200" t="s">
        <v>25</v>
      </c>
      <c r="J200" t="s">
        <v>885</v>
      </c>
      <c r="K200" t="s">
        <v>62</v>
      </c>
      <c r="L200" t="s">
        <v>886</v>
      </c>
      <c r="M200" s="2">
        <v>5499</v>
      </c>
      <c r="N200">
        <v>1</v>
      </c>
      <c r="O200" s="2">
        <v>5499</v>
      </c>
      <c r="P200" t="s">
        <v>29</v>
      </c>
      <c r="Q200">
        <v>0</v>
      </c>
      <c r="R200" s="4">
        <f>IFERROR(Data_Analyst_Intern_Nikhil_Kumar_February2026[[#This Row],[Total]]/Data_Analyst_Intern_Nikhil_Kumar_February2026[[#This Row],[Discount(%)]],0)</f>
        <v>0</v>
      </c>
      <c r="S200" s="2">
        <f>Data_Analyst_Intern_Nikhil_Kumar_February2026[[#This Row],[Total]]-Data_Analyst_Intern_Nikhil_Kumar_February2026[[#This Row],[Discount Amount]]</f>
        <v>5499</v>
      </c>
      <c r="T200" t="s">
        <v>112</v>
      </c>
      <c r="U200" t="s">
        <v>31</v>
      </c>
      <c r="V200" t="s">
        <v>214</v>
      </c>
      <c r="W200" t="s">
        <v>114</v>
      </c>
      <c r="X200" t="s">
        <v>46</v>
      </c>
      <c r="Y200" s="1">
        <v>45634</v>
      </c>
      <c r="Z200" s="3">
        <f>Data_Analyst_Intern_Nikhil_Kumar_February2026[[#This Row],[Del Date]]-Data_Analyst_Intern_Nikhil_Kumar_February2026[[#This Row],[Order Date]]</f>
        <v>16</v>
      </c>
      <c r="AA200" s="3" t="str" cm="1">
        <f t="array" ref="AA200">_xlfn.IFS(Data_Analyst_Intern_Nikhil_Kumar_February2026[[#This Row],[Del Days]]&lt;=7,"Fast",Data_Analyst_Intern_Nikhil_Kumar_February2026[[#This Row],[Del Days]]&lt;=15,"Standard",Data_Analyst_Intern_Nikhil_Kumar_February2026[[#This Row],[Del Days]]&gt;15,"Slow")</f>
        <v>Slow</v>
      </c>
      <c r="AB200" t="s">
        <v>34</v>
      </c>
      <c r="AC200">
        <f>IF(Data_Analyst_Intern_Nikhil_Kumar_February2026[[#This Row],[Status]]="RTO", 1,0)</f>
        <v>0</v>
      </c>
      <c r="AD200">
        <f>IF(Data_Analyst_Intern_Nikhil_Kumar_February2026[[#This Row],[Status]]="Delivered",1,0)</f>
        <v>1</v>
      </c>
      <c r="AE200" t="s">
        <v>47</v>
      </c>
      <c r="AF200">
        <f>IF(AND(Data_Analyst_Intern_Nikhil_Kumar_February2026[[#This Row],[Status]]="Delivered",Data_Analyst_Intern_Nikhil_Kumar_February2026[[#This Row],[Return?]]="Yes"),1,0)</f>
        <v>1</v>
      </c>
      <c r="AG200" t="s">
        <v>80</v>
      </c>
      <c r="AH200" s="1">
        <v>45663</v>
      </c>
      <c r="AI200" t="s">
        <v>49</v>
      </c>
    </row>
    <row r="201" spans="1:35" x14ac:dyDescent="0.3">
      <c r="A201" t="s">
        <v>887</v>
      </c>
      <c r="B201" s="1">
        <v>45618</v>
      </c>
      <c r="C201" s="1" t="str">
        <f>TEXT(Data_Analyst_Intern_Nikhil_Kumar_February2026[[#This Row],[Order Date]], "mmmm")</f>
        <v>November</v>
      </c>
      <c r="D201" s="23">
        <f>WEEKNUM(Data_Analyst_Intern_Nikhil_Kumar_February2026[[#This Row],[Order Date]],2)</f>
        <v>47</v>
      </c>
      <c r="E201" s="23" t="str">
        <f>TEXT(Data_Analyst_Intern_Nikhil_Kumar_February2026[[#This Row],[Order Date]],"dddd")</f>
        <v>Friday</v>
      </c>
      <c r="F201" s="1">
        <v>45614</v>
      </c>
      <c r="G201" s="23" t="str">
        <f>TEXT(WEEKDAY(Data_Analyst_Intern_Nikhil_Kumar_February2026[[#This Row],[Order Date]],2), "dddd")</f>
        <v>Thursday</v>
      </c>
      <c r="H201" t="s">
        <v>888</v>
      </c>
      <c r="I201" t="s">
        <v>25</v>
      </c>
      <c r="J201" t="s">
        <v>889</v>
      </c>
      <c r="K201" t="s">
        <v>72</v>
      </c>
      <c r="L201" t="s">
        <v>890</v>
      </c>
      <c r="M201" s="2">
        <v>999</v>
      </c>
      <c r="N201">
        <v>1</v>
      </c>
      <c r="O201" s="2">
        <v>999</v>
      </c>
      <c r="P201" t="s">
        <v>29</v>
      </c>
      <c r="Q201">
        <v>0</v>
      </c>
      <c r="R201" s="4">
        <f>IFERROR(Data_Analyst_Intern_Nikhil_Kumar_February2026[[#This Row],[Total]]/Data_Analyst_Intern_Nikhil_Kumar_February2026[[#This Row],[Discount(%)]],0)</f>
        <v>0</v>
      </c>
      <c r="S201" s="2">
        <f>Data_Analyst_Intern_Nikhil_Kumar_February2026[[#This Row],[Total]]-Data_Analyst_Intern_Nikhil_Kumar_February2026[[#This Row],[Discount Amount]]</f>
        <v>999</v>
      </c>
      <c r="T201" t="s">
        <v>65</v>
      </c>
      <c r="U201" t="s">
        <v>45</v>
      </c>
      <c r="V201" t="s">
        <v>32</v>
      </c>
      <c r="W201" t="s">
        <v>33</v>
      </c>
      <c r="X201" t="s">
        <v>32</v>
      </c>
      <c r="Y201" s="1">
        <v>45632</v>
      </c>
      <c r="Z201" s="3">
        <f>Data_Analyst_Intern_Nikhil_Kumar_February2026[[#This Row],[Del Date]]-Data_Analyst_Intern_Nikhil_Kumar_February2026[[#This Row],[Order Date]]</f>
        <v>14</v>
      </c>
      <c r="AA201" s="3" t="str" cm="1">
        <f t="array" ref="AA201">_xlfn.IFS(Data_Analyst_Intern_Nikhil_Kumar_February2026[[#This Row],[Del Days]]&lt;=7,"Fast",Data_Analyst_Intern_Nikhil_Kumar_February2026[[#This Row],[Del Days]]&lt;=15,"Standard",Data_Analyst_Intern_Nikhil_Kumar_February2026[[#This Row],[Del Days]]&gt;15,"Slow")</f>
        <v>Standard</v>
      </c>
      <c r="AB201" t="s">
        <v>34</v>
      </c>
      <c r="AC201">
        <f>IF(Data_Analyst_Intern_Nikhil_Kumar_February2026[[#This Row],[Status]]="RTO", 1,0)</f>
        <v>0</v>
      </c>
      <c r="AD201">
        <f>IF(Data_Analyst_Intern_Nikhil_Kumar_February2026[[#This Row],[Status]]="Delivered",1,0)</f>
        <v>1</v>
      </c>
      <c r="AE201" t="s">
        <v>35</v>
      </c>
      <c r="AF201">
        <f>IF(AND(Data_Analyst_Intern_Nikhil_Kumar_February2026[[#This Row],[Status]]="Delivered",Data_Analyst_Intern_Nikhil_Kumar_February2026[[#This Row],[Return?]]="Yes"),1,0)</f>
        <v>0</v>
      </c>
      <c r="AG201" t="s">
        <v>29</v>
      </c>
      <c r="AI201" t="s">
        <v>36</v>
      </c>
    </row>
    <row r="202" spans="1:35" x14ac:dyDescent="0.3">
      <c r="A202" t="s">
        <v>891</v>
      </c>
      <c r="B202" s="1">
        <v>45618</v>
      </c>
      <c r="C202" s="1" t="str">
        <f>TEXT(Data_Analyst_Intern_Nikhil_Kumar_February2026[[#This Row],[Order Date]], "mmmm")</f>
        <v>November</v>
      </c>
      <c r="D202" s="23">
        <f>WEEKNUM(Data_Analyst_Intern_Nikhil_Kumar_February2026[[#This Row],[Order Date]],2)</f>
        <v>47</v>
      </c>
      <c r="E202" s="23" t="str">
        <f>TEXT(Data_Analyst_Intern_Nikhil_Kumar_February2026[[#This Row],[Order Date]],"dddd")</f>
        <v>Friday</v>
      </c>
      <c r="F202" s="1">
        <v>45614</v>
      </c>
      <c r="G202" s="23" t="str">
        <f>TEXT(WEEKDAY(Data_Analyst_Intern_Nikhil_Kumar_February2026[[#This Row],[Order Date]],2), "dddd")</f>
        <v>Thursday</v>
      </c>
      <c r="H202" t="s">
        <v>892</v>
      </c>
      <c r="I202" t="s">
        <v>25</v>
      </c>
      <c r="J202" t="s">
        <v>893</v>
      </c>
      <c r="K202" t="s">
        <v>27</v>
      </c>
      <c r="L202" t="s">
        <v>894</v>
      </c>
      <c r="M202" s="2">
        <v>1699</v>
      </c>
      <c r="N202">
        <v>1</v>
      </c>
      <c r="O202" s="2">
        <v>1699</v>
      </c>
      <c r="P202" t="s">
        <v>703</v>
      </c>
      <c r="Q202">
        <v>15</v>
      </c>
      <c r="R202" s="4">
        <f>IFERROR(Data_Analyst_Intern_Nikhil_Kumar_February2026[[#This Row],[Total]]/Data_Analyst_Intern_Nikhil_Kumar_February2026[[#This Row],[Discount(%)]],0)</f>
        <v>113.26666666666667</v>
      </c>
      <c r="S202" s="2">
        <f>Data_Analyst_Intern_Nikhil_Kumar_February2026[[#This Row],[Total]]-Data_Analyst_Intern_Nikhil_Kumar_February2026[[#This Row],[Discount Amount]]</f>
        <v>1585.7333333333333</v>
      </c>
      <c r="T202" t="s">
        <v>30</v>
      </c>
      <c r="U202" t="s">
        <v>66</v>
      </c>
      <c r="V202" t="s">
        <v>46</v>
      </c>
      <c r="W202" t="s">
        <v>46</v>
      </c>
      <c r="X202" t="s">
        <v>46</v>
      </c>
      <c r="Y202" s="1">
        <v>45633</v>
      </c>
      <c r="Z202" s="3">
        <f>Data_Analyst_Intern_Nikhil_Kumar_February2026[[#This Row],[Del Date]]-Data_Analyst_Intern_Nikhil_Kumar_February2026[[#This Row],[Order Date]]</f>
        <v>15</v>
      </c>
      <c r="AA202" s="3" t="str" cm="1">
        <f t="array" ref="AA202">_xlfn.IFS(Data_Analyst_Intern_Nikhil_Kumar_February2026[[#This Row],[Del Days]]&lt;=7,"Fast",Data_Analyst_Intern_Nikhil_Kumar_February2026[[#This Row],[Del Days]]&lt;=15,"Standard",Data_Analyst_Intern_Nikhil_Kumar_February2026[[#This Row],[Del Days]]&gt;15,"Slow")</f>
        <v>Standard</v>
      </c>
      <c r="AB202" t="s">
        <v>34</v>
      </c>
      <c r="AC202">
        <f>IF(Data_Analyst_Intern_Nikhil_Kumar_February2026[[#This Row],[Status]]="RTO", 1,0)</f>
        <v>0</v>
      </c>
      <c r="AD202">
        <f>IF(Data_Analyst_Intern_Nikhil_Kumar_February2026[[#This Row],[Status]]="Delivered",1,0)</f>
        <v>1</v>
      </c>
      <c r="AE202" t="s">
        <v>47</v>
      </c>
      <c r="AF202">
        <f>IF(AND(Data_Analyst_Intern_Nikhil_Kumar_February2026[[#This Row],[Status]]="Delivered",Data_Analyst_Intern_Nikhil_Kumar_February2026[[#This Row],[Return?]]="Yes"),1,0)</f>
        <v>1</v>
      </c>
      <c r="AG202" t="s">
        <v>139</v>
      </c>
      <c r="AH202" s="1">
        <v>45662</v>
      </c>
      <c r="AI202" t="s">
        <v>49</v>
      </c>
    </row>
    <row r="203" spans="1:35" x14ac:dyDescent="0.3">
      <c r="A203" t="s">
        <v>895</v>
      </c>
      <c r="B203" s="1">
        <v>45619</v>
      </c>
      <c r="C203" s="1" t="str">
        <f>TEXT(Data_Analyst_Intern_Nikhil_Kumar_February2026[[#This Row],[Order Date]], "mmmm")</f>
        <v>November</v>
      </c>
      <c r="D203" s="23">
        <f>WEEKNUM(Data_Analyst_Intern_Nikhil_Kumar_February2026[[#This Row],[Order Date]],2)</f>
        <v>47</v>
      </c>
      <c r="E203" s="23" t="str">
        <f>TEXT(Data_Analyst_Intern_Nikhil_Kumar_February2026[[#This Row],[Order Date]],"dddd")</f>
        <v>Saturday</v>
      </c>
      <c r="F203" s="1">
        <v>45614</v>
      </c>
      <c r="G203" s="23" t="str">
        <f>TEXT(WEEKDAY(Data_Analyst_Intern_Nikhil_Kumar_February2026[[#This Row],[Order Date]],2), "dddd")</f>
        <v>Friday</v>
      </c>
      <c r="H203" t="s">
        <v>896</v>
      </c>
      <c r="I203" t="s">
        <v>25</v>
      </c>
      <c r="J203" t="s">
        <v>897</v>
      </c>
      <c r="K203" t="s">
        <v>41</v>
      </c>
      <c r="L203" t="s">
        <v>898</v>
      </c>
      <c r="M203" s="2">
        <v>2799</v>
      </c>
      <c r="N203">
        <v>1</v>
      </c>
      <c r="O203" s="2">
        <v>2799</v>
      </c>
      <c r="P203" t="s">
        <v>29</v>
      </c>
      <c r="Q203">
        <v>0</v>
      </c>
      <c r="R203" s="4">
        <f>IFERROR(Data_Analyst_Intern_Nikhil_Kumar_February2026[[#This Row],[Total]]/Data_Analyst_Intern_Nikhil_Kumar_February2026[[#This Row],[Discount(%)]],0)</f>
        <v>0</v>
      </c>
      <c r="S203" s="2">
        <f>Data_Analyst_Intern_Nikhil_Kumar_February2026[[#This Row],[Total]]-Data_Analyst_Intern_Nikhil_Kumar_February2026[[#This Row],[Discount Amount]]</f>
        <v>2799</v>
      </c>
      <c r="T203" t="s">
        <v>44</v>
      </c>
      <c r="U203" t="s">
        <v>31</v>
      </c>
      <c r="V203" t="s">
        <v>91</v>
      </c>
      <c r="W203" t="s">
        <v>92</v>
      </c>
      <c r="X203" t="s">
        <v>46</v>
      </c>
      <c r="Y203" s="1">
        <v>45635</v>
      </c>
      <c r="Z203" s="3">
        <f>Data_Analyst_Intern_Nikhil_Kumar_February2026[[#This Row],[Del Date]]-Data_Analyst_Intern_Nikhil_Kumar_February2026[[#This Row],[Order Date]]</f>
        <v>16</v>
      </c>
      <c r="AA203" s="3" t="str" cm="1">
        <f t="array" ref="AA203">_xlfn.IFS(Data_Analyst_Intern_Nikhil_Kumar_February2026[[#This Row],[Del Days]]&lt;=7,"Fast",Data_Analyst_Intern_Nikhil_Kumar_February2026[[#This Row],[Del Days]]&lt;=15,"Standard",Data_Analyst_Intern_Nikhil_Kumar_February2026[[#This Row],[Del Days]]&gt;15,"Slow")</f>
        <v>Slow</v>
      </c>
      <c r="AB203" t="s">
        <v>34</v>
      </c>
      <c r="AC203">
        <f>IF(Data_Analyst_Intern_Nikhil_Kumar_February2026[[#This Row],[Status]]="RTO", 1,0)</f>
        <v>0</v>
      </c>
      <c r="AD203">
        <f>IF(Data_Analyst_Intern_Nikhil_Kumar_February2026[[#This Row],[Status]]="Delivered",1,0)</f>
        <v>1</v>
      </c>
      <c r="AE203" t="s">
        <v>35</v>
      </c>
      <c r="AF203">
        <f>IF(AND(Data_Analyst_Intern_Nikhil_Kumar_February2026[[#This Row],[Status]]="Delivered",Data_Analyst_Intern_Nikhil_Kumar_February2026[[#This Row],[Return?]]="Yes"),1,0)</f>
        <v>0</v>
      </c>
      <c r="AG203" t="s">
        <v>29</v>
      </c>
      <c r="AI203" t="s">
        <v>36</v>
      </c>
    </row>
    <row r="204" spans="1:35" x14ac:dyDescent="0.3">
      <c r="A204" t="s">
        <v>899</v>
      </c>
      <c r="B204" s="1">
        <v>45619</v>
      </c>
      <c r="C204" s="1" t="str">
        <f>TEXT(Data_Analyst_Intern_Nikhil_Kumar_February2026[[#This Row],[Order Date]], "mmmm")</f>
        <v>November</v>
      </c>
      <c r="D204" s="23">
        <f>WEEKNUM(Data_Analyst_Intern_Nikhil_Kumar_February2026[[#This Row],[Order Date]],2)</f>
        <v>47</v>
      </c>
      <c r="E204" s="23" t="str">
        <f>TEXT(Data_Analyst_Intern_Nikhil_Kumar_February2026[[#This Row],[Order Date]],"dddd")</f>
        <v>Saturday</v>
      </c>
      <c r="F204" s="1">
        <v>45614</v>
      </c>
      <c r="G204" s="23" t="str">
        <f>TEXT(WEEKDAY(Data_Analyst_Intern_Nikhil_Kumar_February2026[[#This Row],[Order Date]],2), "dddd")</f>
        <v>Friday</v>
      </c>
      <c r="H204" t="s">
        <v>900</v>
      </c>
      <c r="I204" t="s">
        <v>39</v>
      </c>
      <c r="J204" t="s">
        <v>901</v>
      </c>
      <c r="K204" t="s">
        <v>54</v>
      </c>
      <c r="L204" t="s">
        <v>902</v>
      </c>
      <c r="M204" s="2">
        <v>2399</v>
      </c>
      <c r="N204">
        <v>1</v>
      </c>
      <c r="O204" s="2">
        <v>2399</v>
      </c>
      <c r="P204" t="s">
        <v>29</v>
      </c>
      <c r="Q204">
        <v>0</v>
      </c>
      <c r="R204" s="4">
        <f>IFERROR(Data_Analyst_Intern_Nikhil_Kumar_February2026[[#This Row],[Total]]/Data_Analyst_Intern_Nikhil_Kumar_February2026[[#This Row],[Discount(%)]],0)</f>
        <v>0</v>
      </c>
      <c r="S204" s="2">
        <f>Data_Analyst_Intern_Nikhil_Kumar_February2026[[#This Row],[Total]]-Data_Analyst_Intern_Nikhil_Kumar_February2026[[#This Row],[Discount Amount]]</f>
        <v>2399</v>
      </c>
      <c r="T204" t="s">
        <v>56</v>
      </c>
      <c r="U204" t="s">
        <v>45</v>
      </c>
      <c r="V204" t="s">
        <v>67</v>
      </c>
      <c r="W204" t="s">
        <v>68</v>
      </c>
      <c r="X204" t="s">
        <v>57</v>
      </c>
      <c r="Y204" s="1">
        <v>45633</v>
      </c>
      <c r="Z204" s="3">
        <f>Data_Analyst_Intern_Nikhil_Kumar_February2026[[#This Row],[Del Date]]-Data_Analyst_Intern_Nikhil_Kumar_February2026[[#This Row],[Order Date]]</f>
        <v>14</v>
      </c>
      <c r="AA204" s="3" t="str" cm="1">
        <f t="array" ref="AA204">_xlfn.IFS(Data_Analyst_Intern_Nikhil_Kumar_February2026[[#This Row],[Del Days]]&lt;=7,"Fast",Data_Analyst_Intern_Nikhil_Kumar_February2026[[#This Row],[Del Days]]&lt;=15,"Standard",Data_Analyst_Intern_Nikhil_Kumar_February2026[[#This Row],[Del Days]]&gt;15,"Slow")</f>
        <v>Standard</v>
      </c>
      <c r="AB204" t="s">
        <v>34</v>
      </c>
      <c r="AC204">
        <f>IF(Data_Analyst_Intern_Nikhil_Kumar_February2026[[#This Row],[Status]]="RTO", 1,0)</f>
        <v>0</v>
      </c>
      <c r="AD204">
        <f>IF(Data_Analyst_Intern_Nikhil_Kumar_February2026[[#This Row],[Status]]="Delivered",1,0)</f>
        <v>1</v>
      </c>
      <c r="AE204" t="s">
        <v>47</v>
      </c>
      <c r="AF204">
        <f>IF(AND(Data_Analyst_Intern_Nikhil_Kumar_February2026[[#This Row],[Status]]="Delivered",Data_Analyst_Intern_Nikhil_Kumar_February2026[[#This Row],[Return?]]="Yes"),1,0)</f>
        <v>1</v>
      </c>
      <c r="AG204" t="s">
        <v>69</v>
      </c>
      <c r="AH204" s="1">
        <v>45661</v>
      </c>
      <c r="AI204" t="s">
        <v>49</v>
      </c>
    </row>
    <row r="205" spans="1:35" x14ac:dyDescent="0.3">
      <c r="A205" t="s">
        <v>903</v>
      </c>
      <c r="B205" s="1">
        <v>45619</v>
      </c>
      <c r="C205" s="1" t="str">
        <f>TEXT(Data_Analyst_Intern_Nikhil_Kumar_February2026[[#This Row],[Order Date]], "mmmm")</f>
        <v>November</v>
      </c>
      <c r="D205" s="23">
        <f>WEEKNUM(Data_Analyst_Intern_Nikhil_Kumar_February2026[[#This Row],[Order Date]],2)</f>
        <v>47</v>
      </c>
      <c r="E205" s="23" t="str">
        <f>TEXT(Data_Analyst_Intern_Nikhil_Kumar_February2026[[#This Row],[Order Date]],"dddd")</f>
        <v>Saturday</v>
      </c>
      <c r="F205" s="1">
        <v>45614</v>
      </c>
      <c r="G205" s="23" t="str">
        <f>TEXT(WEEKDAY(Data_Analyst_Intern_Nikhil_Kumar_February2026[[#This Row],[Order Date]],2), "dddd")</f>
        <v>Friday</v>
      </c>
      <c r="H205" t="s">
        <v>904</v>
      </c>
      <c r="I205" t="s">
        <v>25</v>
      </c>
      <c r="J205" t="s">
        <v>905</v>
      </c>
      <c r="K205" t="s">
        <v>62</v>
      </c>
      <c r="L205" t="s">
        <v>906</v>
      </c>
      <c r="M205" s="2">
        <v>6799</v>
      </c>
      <c r="N205">
        <v>1</v>
      </c>
      <c r="O205" s="2">
        <v>6799</v>
      </c>
      <c r="P205" t="s">
        <v>29</v>
      </c>
      <c r="Q205">
        <v>0</v>
      </c>
      <c r="R205" s="4">
        <f>IFERROR(Data_Analyst_Intern_Nikhil_Kumar_February2026[[#This Row],[Total]]/Data_Analyst_Intern_Nikhil_Kumar_February2026[[#This Row],[Discount(%)]],0)</f>
        <v>0</v>
      </c>
      <c r="S205" s="2">
        <f>Data_Analyst_Intern_Nikhil_Kumar_February2026[[#This Row],[Total]]-Data_Analyst_Intern_Nikhil_Kumar_February2026[[#This Row],[Discount Amount]]</f>
        <v>6799</v>
      </c>
      <c r="T205" t="s">
        <v>30</v>
      </c>
      <c r="U205" t="s">
        <v>66</v>
      </c>
      <c r="V205" t="s">
        <v>78</v>
      </c>
      <c r="W205" t="s">
        <v>79</v>
      </c>
      <c r="X205" t="s">
        <v>57</v>
      </c>
      <c r="Y205" s="1">
        <v>45636</v>
      </c>
      <c r="Z205" s="3">
        <f>Data_Analyst_Intern_Nikhil_Kumar_February2026[[#This Row],[Del Date]]-Data_Analyst_Intern_Nikhil_Kumar_February2026[[#This Row],[Order Date]]</f>
        <v>17</v>
      </c>
      <c r="AA205" s="3" t="str" cm="1">
        <f t="array" ref="AA205">_xlfn.IFS(Data_Analyst_Intern_Nikhil_Kumar_February2026[[#This Row],[Del Days]]&lt;=7,"Fast",Data_Analyst_Intern_Nikhil_Kumar_February2026[[#This Row],[Del Days]]&lt;=15,"Standard",Data_Analyst_Intern_Nikhil_Kumar_February2026[[#This Row],[Del Days]]&gt;15,"Slow")</f>
        <v>Slow</v>
      </c>
      <c r="AB205" t="s">
        <v>34</v>
      </c>
      <c r="AC205">
        <f>IF(Data_Analyst_Intern_Nikhil_Kumar_February2026[[#This Row],[Status]]="RTO", 1,0)</f>
        <v>0</v>
      </c>
      <c r="AD205">
        <f>IF(Data_Analyst_Intern_Nikhil_Kumar_February2026[[#This Row],[Status]]="Delivered",1,0)</f>
        <v>1</v>
      </c>
      <c r="AE205" t="s">
        <v>47</v>
      </c>
      <c r="AF205">
        <f>IF(AND(Data_Analyst_Intern_Nikhil_Kumar_February2026[[#This Row],[Status]]="Delivered",Data_Analyst_Intern_Nikhil_Kumar_February2026[[#This Row],[Return?]]="Yes"),1,0)</f>
        <v>1</v>
      </c>
      <c r="AG205" t="s">
        <v>48</v>
      </c>
      <c r="AH205" s="1">
        <v>45665</v>
      </c>
      <c r="AI205" t="s">
        <v>49</v>
      </c>
    </row>
    <row r="206" spans="1:35" x14ac:dyDescent="0.3">
      <c r="A206" t="s">
        <v>907</v>
      </c>
      <c r="B206" s="1">
        <v>45620</v>
      </c>
      <c r="C206" s="1" t="str">
        <f>TEXT(Data_Analyst_Intern_Nikhil_Kumar_February2026[[#This Row],[Order Date]], "mmmm")</f>
        <v>November</v>
      </c>
      <c r="D206" s="23">
        <f>WEEKNUM(Data_Analyst_Intern_Nikhil_Kumar_February2026[[#This Row],[Order Date]],2)</f>
        <v>47</v>
      </c>
      <c r="E206" s="23" t="str">
        <f>TEXT(Data_Analyst_Intern_Nikhil_Kumar_February2026[[#This Row],[Order Date]],"dddd")</f>
        <v>Sunday</v>
      </c>
      <c r="F206" s="1">
        <v>45614</v>
      </c>
      <c r="G206" s="23" t="str">
        <f>TEXT(WEEKDAY(Data_Analyst_Intern_Nikhil_Kumar_February2026[[#This Row],[Order Date]],2), "dddd")</f>
        <v>Saturday</v>
      </c>
      <c r="H206" t="s">
        <v>908</v>
      </c>
      <c r="I206" t="s">
        <v>25</v>
      </c>
      <c r="J206" t="s">
        <v>909</v>
      </c>
      <c r="K206" t="s">
        <v>72</v>
      </c>
      <c r="L206" t="s">
        <v>910</v>
      </c>
      <c r="M206" s="2">
        <v>1499</v>
      </c>
      <c r="N206">
        <v>1</v>
      </c>
      <c r="O206" s="2">
        <v>1499</v>
      </c>
      <c r="P206" t="s">
        <v>703</v>
      </c>
      <c r="Q206">
        <v>15</v>
      </c>
      <c r="R206" s="4">
        <f>IFERROR(Data_Analyst_Intern_Nikhil_Kumar_February2026[[#This Row],[Total]]/Data_Analyst_Intern_Nikhil_Kumar_February2026[[#This Row],[Discount(%)]],0)</f>
        <v>99.933333333333337</v>
      </c>
      <c r="S206" s="2">
        <f>Data_Analyst_Intern_Nikhil_Kumar_February2026[[#This Row],[Total]]-Data_Analyst_Intern_Nikhil_Kumar_February2026[[#This Row],[Discount Amount]]</f>
        <v>1399.0666666666666</v>
      </c>
      <c r="T206" t="s">
        <v>112</v>
      </c>
      <c r="U206" t="s">
        <v>31</v>
      </c>
      <c r="V206" t="s">
        <v>85</v>
      </c>
      <c r="W206" t="s">
        <v>33</v>
      </c>
      <c r="X206" t="s">
        <v>32</v>
      </c>
      <c r="Y206" s="1">
        <v>45634</v>
      </c>
      <c r="Z206" s="3">
        <f>Data_Analyst_Intern_Nikhil_Kumar_February2026[[#This Row],[Del Date]]-Data_Analyst_Intern_Nikhil_Kumar_February2026[[#This Row],[Order Date]]</f>
        <v>14</v>
      </c>
      <c r="AA206" s="3" t="str" cm="1">
        <f t="array" ref="AA206">_xlfn.IFS(Data_Analyst_Intern_Nikhil_Kumar_February2026[[#This Row],[Del Days]]&lt;=7,"Fast",Data_Analyst_Intern_Nikhil_Kumar_February2026[[#This Row],[Del Days]]&lt;=15,"Standard",Data_Analyst_Intern_Nikhil_Kumar_February2026[[#This Row],[Del Days]]&gt;15,"Slow")</f>
        <v>Standard</v>
      </c>
      <c r="AB206" t="s">
        <v>34</v>
      </c>
      <c r="AC206">
        <f>IF(Data_Analyst_Intern_Nikhil_Kumar_February2026[[#This Row],[Status]]="RTO", 1,0)</f>
        <v>0</v>
      </c>
      <c r="AD206">
        <f>IF(Data_Analyst_Intern_Nikhil_Kumar_February2026[[#This Row],[Status]]="Delivered",1,0)</f>
        <v>1</v>
      </c>
      <c r="AE206" t="s">
        <v>35</v>
      </c>
      <c r="AF206">
        <f>IF(AND(Data_Analyst_Intern_Nikhil_Kumar_February2026[[#This Row],[Status]]="Delivered",Data_Analyst_Intern_Nikhil_Kumar_February2026[[#This Row],[Return?]]="Yes"),1,0)</f>
        <v>0</v>
      </c>
      <c r="AG206" t="s">
        <v>29</v>
      </c>
      <c r="AI206" t="s">
        <v>36</v>
      </c>
    </row>
    <row r="207" spans="1:35" x14ac:dyDescent="0.3">
      <c r="A207" t="s">
        <v>911</v>
      </c>
      <c r="B207" s="1">
        <v>45620</v>
      </c>
      <c r="C207" s="1" t="str">
        <f>TEXT(Data_Analyst_Intern_Nikhil_Kumar_February2026[[#This Row],[Order Date]], "mmmm")</f>
        <v>November</v>
      </c>
      <c r="D207" s="23">
        <f>WEEKNUM(Data_Analyst_Intern_Nikhil_Kumar_February2026[[#This Row],[Order Date]],2)</f>
        <v>47</v>
      </c>
      <c r="E207" s="23" t="str">
        <f>TEXT(Data_Analyst_Intern_Nikhil_Kumar_February2026[[#This Row],[Order Date]],"dddd")</f>
        <v>Sunday</v>
      </c>
      <c r="F207" s="1">
        <v>45614</v>
      </c>
      <c r="G207" s="23" t="str">
        <f>TEXT(WEEKDAY(Data_Analyst_Intern_Nikhil_Kumar_February2026[[#This Row],[Order Date]],2), "dddd")</f>
        <v>Saturday</v>
      </c>
      <c r="H207" t="s">
        <v>912</v>
      </c>
      <c r="I207" t="s">
        <v>25</v>
      </c>
      <c r="J207" t="s">
        <v>913</v>
      </c>
      <c r="K207" t="s">
        <v>27</v>
      </c>
      <c r="L207" t="s">
        <v>914</v>
      </c>
      <c r="M207" s="2">
        <v>2299</v>
      </c>
      <c r="N207">
        <v>1</v>
      </c>
      <c r="O207" s="2">
        <v>2299</v>
      </c>
      <c r="P207" t="s">
        <v>29</v>
      </c>
      <c r="Q207">
        <v>0</v>
      </c>
      <c r="R207" s="4">
        <f>IFERROR(Data_Analyst_Intern_Nikhil_Kumar_February2026[[#This Row],[Total]]/Data_Analyst_Intern_Nikhil_Kumar_February2026[[#This Row],[Discount(%)]],0)</f>
        <v>0</v>
      </c>
      <c r="S207" s="2">
        <f>Data_Analyst_Intern_Nikhil_Kumar_February2026[[#This Row],[Total]]-Data_Analyst_Intern_Nikhil_Kumar_February2026[[#This Row],[Discount Amount]]</f>
        <v>2299</v>
      </c>
      <c r="T207" t="s">
        <v>65</v>
      </c>
      <c r="U207" t="s">
        <v>45</v>
      </c>
      <c r="V207" t="s">
        <v>97</v>
      </c>
      <c r="W207" t="s">
        <v>98</v>
      </c>
      <c r="X207" t="s">
        <v>32</v>
      </c>
      <c r="Y207" s="1">
        <v>45635</v>
      </c>
      <c r="Z207" s="3">
        <f>Data_Analyst_Intern_Nikhil_Kumar_February2026[[#This Row],[Del Date]]-Data_Analyst_Intern_Nikhil_Kumar_February2026[[#This Row],[Order Date]]</f>
        <v>15</v>
      </c>
      <c r="AA207" s="3" t="str" cm="1">
        <f t="array" ref="AA207">_xlfn.IFS(Data_Analyst_Intern_Nikhil_Kumar_February2026[[#This Row],[Del Days]]&lt;=7,"Fast",Data_Analyst_Intern_Nikhil_Kumar_February2026[[#This Row],[Del Days]]&lt;=15,"Standard",Data_Analyst_Intern_Nikhil_Kumar_February2026[[#This Row],[Del Days]]&gt;15,"Slow")</f>
        <v>Standard</v>
      </c>
      <c r="AB207" t="s">
        <v>34</v>
      </c>
      <c r="AC207">
        <f>IF(Data_Analyst_Intern_Nikhil_Kumar_February2026[[#This Row],[Status]]="RTO", 1,0)</f>
        <v>0</v>
      </c>
      <c r="AD207">
        <f>IF(Data_Analyst_Intern_Nikhil_Kumar_February2026[[#This Row],[Status]]="Delivered",1,0)</f>
        <v>1</v>
      </c>
      <c r="AE207" t="s">
        <v>47</v>
      </c>
      <c r="AF207">
        <f>IF(AND(Data_Analyst_Intern_Nikhil_Kumar_February2026[[#This Row],[Status]]="Delivered",Data_Analyst_Intern_Nikhil_Kumar_February2026[[#This Row],[Return?]]="Yes"),1,0)</f>
        <v>1</v>
      </c>
      <c r="AG207" t="s">
        <v>105</v>
      </c>
      <c r="AH207" s="1">
        <v>45664</v>
      </c>
      <c r="AI207" t="s">
        <v>49</v>
      </c>
    </row>
    <row r="208" spans="1:35" x14ac:dyDescent="0.3">
      <c r="A208" t="s">
        <v>915</v>
      </c>
      <c r="B208" s="1">
        <v>45620</v>
      </c>
      <c r="C208" s="1" t="str">
        <f>TEXT(Data_Analyst_Intern_Nikhil_Kumar_February2026[[#This Row],[Order Date]], "mmmm")</f>
        <v>November</v>
      </c>
      <c r="D208" s="23">
        <f>WEEKNUM(Data_Analyst_Intern_Nikhil_Kumar_February2026[[#This Row],[Order Date]],2)</f>
        <v>47</v>
      </c>
      <c r="E208" s="23" t="str">
        <f>TEXT(Data_Analyst_Intern_Nikhil_Kumar_February2026[[#This Row],[Order Date]],"dddd")</f>
        <v>Sunday</v>
      </c>
      <c r="F208" s="1">
        <v>45614</v>
      </c>
      <c r="G208" s="23" t="str">
        <f>TEXT(WEEKDAY(Data_Analyst_Intern_Nikhil_Kumar_February2026[[#This Row],[Order Date]],2), "dddd")</f>
        <v>Saturday</v>
      </c>
      <c r="H208" t="s">
        <v>916</v>
      </c>
      <c r="I208" t="s">
        <v>25</v>
      </c>
      <c r="J208" t="s">
        <v>917</v>
      </c>
      <c r="K208" t="s">
        <v>41</v>
      </c>
      <c r="L208" t="s">
        <v>918</v>
      </c>
      <c r="M208" s="2">
        <v>4999</v>
      </c>
      <c r="N208">
        <v>1</v>
      </c>
      <c r="O208" s="2">
        <v>4999</v>
      </c>
      <c r="P208" t="s">
        <v>29</v>
      </c>
      <c r="Q208">
        <v>0</v>
      </c>
      <c r="R208" s="4">
        <f>IFERROR(Data_Analyst_Intern_Nikhil_Kumar_February2026[[#This Row],[Total]]/Data_Analyst_Intern_Nikhil_Kumar_February2026[[#This Row],[Discount(%)]],0)</f>
        <v>0</v>
      </c>
      <c r="S208" s="2">
        <f>Data_Analyst_Intern_Nikhil_Kumar_February2026[[#This Row],[Total]]-Data_Analyst_Intern_Nikhil_Kumar_February2026[[#This Row],[Discount Amount]]</f>
        <v>4999</v>
      </c>
      <c r="T208" t="s">
        <v>44</v>
      </c>
      <c r="U208" t="s">
        <v>66</v>
      </c>
      <c r="V208" t="s">
        <v>103</v>
      </c>
      <c r="W208" t="s">
        <v>104</v>
      </c>
      <c r="X208" t="s">
        <v>46</v>
      </c>
      <c r="Y208" s="1">
        <v>45637</v>
      </c>
      <c r="Z208" s="3">
        <f>Data_Analyst_Intern_Nikhil_Kumar_February2026[[#This Row],[Del Date]]-Data_Analyst_Intern_Nikhil_Kumar_February2026[[#This Row],[Order Date]]</f>
        <v>17</v>
      </c>
      <c r="AA208" s="3" t="str" cm="1">
        <f t="array" ref="AA208">_xlfn.IFS(Data_Analyst_Intern_Nikhil_Kumar_February2026[[#This Row],[Del Days]]&lt;=7,"Fast",Data_Analyst_Intern_Nikhil_Kumar_February2026[[#This Row],[Del Days]]&lt;=15,"Standard",Data_Analyst_Intern_Nikhil_Kumar_February2026[[#This Row],[Del Days]]&gt;15,"Slow")</f>
        <v>Slow</v>
      </c>
      <c r="AB208" t="s">
        <v>34</v>
      </c>
      <c r="AC208">
        <f>IF(Data_Analyst_Intern_Nikhil_Kumar_February2026[[#This Row],[Status]]="RTO", 1,0)</f>
        <v>0</v>
      </c>
      <c r="AD208">
        <f>IF(Data_Analyst_Intern_Nikhil_Kumar_February2026[[#This Row],[Status]]="Delivered",1,0)</f>
        <v>1</v>
      </c>
      <c r="AE208" t="s">
        <v>35</v>
      </c>
      <c r="AF208">
        <f>IF(AND(Data_Analyst_Intern_Nikhil_Kumar_February2026[[#This Row],[Status]]="Delivered",Data_Analyst_Intern_Nikhil_Kumar_February2026[[#This Row],[Return?]]="Yes"),1,0)</f>
        <v>0</v>
      </c>
      <c r="AG208" t="s">
        <v>29</v>
      </c>
      <c r="AI208" t="s">
        <v>36</v>
      </c>
    </row>
    <row r="209" spans="1:35" x14ac:dyDescent="0.3">
      <c r="A209" t="s">
        <v>919</v>
      </c>
      <c r="B209" s="1">
        <v>45621</v>
      </c>
      <c r="C209" s="1" t="str">
        <f>TEXT(Data_Analyst_Intern_Nikhil_Kumar_February2026[[#This Row],[Order Date]], "mmmm")</f>
        <v>November</v>
      </c>
      <c r="D209" s="23">
        <f>WEEKNUM(Data_Analyst_Intern_Nikhil_Kumar_February2026[[#This Row],[Order Date]],2)</f>
        <v>48</v>
      </c>
      <c r="E209" s="23" t="str">
        <f>TEXT(Data_Analyst_Intern_Nikhil_Kumar_February2026[[#This Row],[Order Date]],"dddd")</f>
        <v>Monday</v>
      </c>
      <c r="F209" s="1">
        <v>45621</v>
      </c>
      <c r="G209" s="23" t="str">
        <f>TEXT(WEEKDAY(Data_Analyst_Intern_Nikhil_Kumar_February2026[[#This Row],[Order Date]],2), "dddd")</f>
        <v>Sunday</v>
      </c>
      <c r="H209" t="s">
        <v>920</v>
      </c>
      <c r="I209" t="s">
        <v>39</v>
      </c>
      <c r="J209" t="s">
        <v>921</v>
      </c>
      <c r="K209" t="s">
        <v>54</v>
      </c>
      <c r="L209" t="s">
        <v>922</v>
      </c>
      <c r="M209" s="2">
        <v>2099</v>
      </c>
      <c r="N209">
        <v>1</v>
      </c>
      <c r="O209" s="2">
        <v>2099</v>
      </c>
      <c r="P209" t="s">
        <v>29</v>
      </c>
      <c r="Q209">
        <v>0</v>
      </c>
      <c r="R209" s="4">
        <f>IFERROR(Data_Analyst_Intern_Nikhil_Kumar_February2026[[#This Row],[Total]]/Data_Analyst_Intern_Nikhil_Kumar_February2026[[#This Row],[Discount(%)]],0)</f>
        <v>0</v>
      </c>
      <c r="S209" s="2">
        <f>Data_Analyst_Intern_Nikhil_Kumar_February2026[[#This Row],[Total]]-Data_Analyst_Intern_Nikhil_Kumar_February2026[[#This Row],[Discount Amount]]</f>
        <v>2099</v>
      </c>
      <c r="T209" t="s">
        <v>30</v>
      </c>
      <c r="U209" t="s">
        <v>31</v>
      </c>
      <c r="V209" t="s">
        <v>113</v>
      </c>
      <c r="W209" t="s">
        <v>114</v>
      </c>
      <c r="X209" t="s">
        <v>46</v>
      </c>
      <c r="Y209" s="1">
        <v>45635</v>
      </c>
      <c r="Z209" s="3">
        <f>Data_Analyst_Intern_Nikhil_Kumar_February2026[[#This Row],[Del Date]]-Data_Analyst_Intern_Nikhil_Kumar_February2026[[#This Row],[Order Date]]</f>
        <v>14</v>
      </c>
      <c r="AA209" s="3" t="str" cm="1">
        <f t="array" ref="AA209">_xlfn.IFS(Data_Analyst_Intern_Nikhil_Kumar_February2026[[#This Row],[Del Days]]&lt;=7,"Fast",Data_Analyst_Intern_Nikhil_Kumar_February2026[[#This Row],[Del Days]]&lt;=15,"Standard",Data_Analyst_Intern_Nikhil_Kumar_February2026[[#This Row],[Del Days]]&gt;15,"Slow")</f>
        <v>Standard</v>
      </c>
      <c r="AB209" t="s">
        <v>34</v>
      </c>
      <c r="AC209">
        <f>IF(Data_Analyst_Intern_Nikhil_Kumar_February2026[[#This Row],[Status]]="RTO", 1,0)</f>
        <v>0</v>
      </c>
      <c r="AD209">
        <f>IF(Data_Analyst_Intern_Nikhil_Kumar_February2026[[#This Row],[Status]]="Delivered",1,0)</f>
        <v>1</v>
      </c>
      <c r="AE209" t="s">
        <v>47</v>
      </c>
      <c r="AF209">
        <f>IF(AND(Data_Analyst_Intern_Nikhil_Kumar_February2026[[#This Row],[Status]]="Delivered",Data_Analyst_Intern_Nikhil_Kumar_February2026[[#This Row],[Return?]]="Yes"),1,0)</f>
        <v>1</v>
      </c>
      <c r="AG209" t="s">
        <v>80</v>
      </c>
      <c r="AH209" s="1">
        <v>45663</v>
      </c>
      <c r="AI209" t="s">
        <v>49</v>
      </c>
    </row>
    <row r="210" spans="1:35" x14ac:dyDescent="0.3">
      <c r="A210" t="s">
        <v>923</v>
      </c>
      <c r="B210" s="1">
        <v>45621</v>
      </c>
      <c r="C210" s="1" t="str">
        <f>TEXT(Data_Analyst_Intern_Nikhil_Kumar_February2026[[#This Row],[Order Date]], "mmmm")</f>
        <v>November</v>
      </c>
      <c r="D210" s="23">
        <f>WEEKNUM(Data_Analyst_Intern_Nikhil_Kumar_February2026[[#This Row],[Order Date]],2)</f>
        <v>48</v>
      </c>
      <c r="E210" s="23" t="str">
        <f>TEXT(Data_Analyst_Intern_Nikhil_Kumar_February2026[[#This Row],[Order Date]],"dddd")</f>
        <v>Monday</v>
      </c>
      <c r="F210" s="1">
        <v>45621</v>
      </c>
      <c r="G210" s="23" t="str">
        <f>TEXT(WEEKDAY(Data_Analyst_Intern_Nikhil_Kumar_February2026[[#This Row],[Order Date]],2), "dddd")</f>
        <v>Sunday</v>
      </c>
      <c r="H210" t="s">
        <v>924</v>
      </c>
      <c r="I210" t="s">
        <v>25</v>
      </c>
      <c r="J210" t="s">
        <v>925</v>
      </c>
      <c r="K210" t="s">
        <v>62</v>
      </c>
      <c r="L210" t="s">
        <v>926</v>
      </c>
      <c r="M210" s="2">
        <v>5799</v>
      </c>
      <c r="N210">
        <v>1</v>
      </c>
      <c r="O210" s="2">
        <v>5799</v>
      </c>
      <c r="P210" t="s">
        <v>703</v>
      </c>
      <c r="Q210">
        <v>15</v>
      </c>
      <c r="R210" s="4">
        <f>IFERROR(Data_Analyst_Intern_Nikhil_Kumar_February2026[[#This Row],[Total]]/Data_Analyst_Intern_Nikhil_Kumar_February2026[[#This Row],[Discount(%)]],0)</f>
        <v>386.6</v>
      </c>
      <c r="S210" s="2">
        <f>Data_Analyst_Intern_Nikhil_Kumar_February2026[[#This Row],[Total]]-Data_Analyst_Intern_Nikhil_Kumar_February2026[[#This Row],[Discount Amount]]</f>
        <v>5412.4</v>
      </c>
      <c r="T210" t="s">
        <v>56</v>
      </c>
      <c r="U210" t="s">
        <v>45</v>
      </c>
      <c r="V210" t="s">
        <v>57</v>
      </c>
      <c r="W210" t="s">
        <v>58</v>
      </c>
      <c r="X210" t="s">
        <v>57</v>
      </c>
      <c r="Y210" s="1">
        <v>45638</v>
      </c>
      <c r="Z210" s="3">
        <f>Data_Analyst_Intern_Nikhil_Kumar_February2026[[#This Row],[Del Date]]-Data_Analyst_Intern_Nikhil_Kumar_February2026[[#This Row],[Order Date]]</f>
        <v>17</v>
      </c>
      <c r="AA210" s="3" t="str" cm="1">
        <f t="array" ref="AA210">_xlfn.IFS(Data_Analyst_Intern_Nikhil_Kumar_February2026[[#This Row],[Del Days]]&lt;=7,"Fast",Data_Analyst_Intern_Nikhil_Kumar_February2026[[#This Row],[Del Days]]&lt;=15,"Standard",Data_Analyst_Intern_Nikhil_Kumar_February2026[[#This Row],[Del Days]]&gt;15,"Slow")</f>
        <v>Slow</v>
      </c>
      <c r="AB210" t="s">
        <v>34</v>
      </c>
      <c r="AC210">
        <f>IF(Data_Analyst_Intern_Nikhil_Kumar_February2026[[#This Row],[Status]]="RTO", 1,0)</f>
        <v>0</v>
      </c>
      <c r="AD210">
        <f>IF(Data_Analyst_Intern_Nikhil_Kumar_February2026[[#This Row],[Status]]="Delivered",1,0)</f>
        <v>1</v>
      </c>
      <c r="AE210" t="s">
        <v>47</v>
      </c>
      <c r="AF210">
        <f>IF(AND(Data_Analyst_Intern_Nikhil_Kumar_February2026[[#This Row],[Status]]="Delivered",Data_Analyst_Intern_Nikhil_Kumar_February2026[[#This Row],[Return?]]="Yes"),1,0)</f>
        <v>1</v>
      </c>
      <c r="AG210" t="s">
        <v>48</v>
      </c>
      <c r="AH210" s="1">
        <v>45667</v>
      </c>
      <c r="AI210" t="s">
        <v>49</v>
      </c>
    </row>
    <row r="211" spans="1:35" x14ac:dyDescent="0.3">
      <c r="A211" t="s">
        <v>927</v>
      </c>
      <c r="B211" s="1">
        <v>45621</v>
      </c>
      <c r="C211" s="1" t="str">
        <f>TEXT(Data_Analyst_Intern_Nikhil_Kumar_February2026[[#This Row],[Order Date]], "mmmm")</f>
        <v>November</v>
      </c>
      <c r="D211" s="23">
        <f>WEEKNUM(Data_Analyst_Intern_Nikhil_Kumar_February2026[[#This Row],[Order Date]],2)</f>
        <v>48</v>
      </c>
      <c r="E211" s="23" t="str">
        <f>TEXT(Data_Analyst_Intern_Nikhil_Kumar_February2026[[#This Row],[Order Date]],"dddd")</f>
        <v>Monday</v>
      </c>
      <c r="F211" s="1">
        <v>45621</v>
      </c>
      <c r="G211" s="23" t="str">
        <f>TEXT(WEEKDAY(Data_Analyst_Intern_Nikhil_Kumar_February2026[[#This Row],[Order Date]],2), "dddd")</f>
        <v>Sunday</v>
      </c>
      <c r="H211" t="s">
        <v>928</v>
      </c>
      <c r="I211" t="s">
        <v>25</v>
      </c>
      <c r="J211" t="s">
        <v>929</v>
      </c>
      <c r="K211" t="s">
        <v>72</v>
      </c>
      <c r="L211" t="s">
        <v>930</v>
      </c>
      <c r="M211" s="2">
        <v>1199</v>
      </c>
      <c r="N211">
        <v>1</v>
      </c>
      <c r="O211" s="2">
        <v>1199</v>
      </c>
      <c r="P211" t="s">
        <v>29</v>
      </c>
      <c r="Q211">
        <v>0</v>
      </c>
      <c r="R211" s="4">
        <f>IFERROR(Data_Analyst_Intern_Nikhil_Kumar_February2026[[#This Row],[Total]]/Data_Analyst_Intern_Nikhil_Kumar_February2026[[#This Row],[Discount(%)]],0)</f>
        <v>0</v>
      </c>
      <c r="S211" s="2">
        <f>Data_Analyst_Intern_Nikhil_Kumar_February2026[[#This Row],[Total]]-Data_Analyst_Intern_Nikhil_Kumar_February2026[[#This Row],[Discount Amount]]</f>
        <v>1199</v>
      </c>
      <c r="T211" t="s">
        <v>44</v>
      </c>
      <c r="U211" t="s">
        <v>66</v>
      </c>
      <c r="V211" t="s">
        <v>32</v>
      </c>
      <c r="W211" t="s">
        <v>33</v>
      </c>
      <c r="X211" t="s">
        <v>32</v>
      </c>
      <c r="Y211" s="1">
        <v>45636</v>
      </c>
      <c r="Z211" s="3">
        <f>Data_Analyst_Intern_Nikhil_Kumar_February2026[[#This Row],[Del Date]]-Data_Analyst_Intern_Nikhil_Kumar_February2026[[#This Row],[Order Date]]</f>
        <v>15</v>
      </c>
      <c r="AA211" s="3" t="str" cm="1">
        <f t="array" ref="AA211">_xlfn.IFS(Data_Analyst_Intern_Nikhil_Kumar_February2026[[#This Row],[Del Days]]&lt;=7,"Fast",Data_Analyst_Intern_Nikhil_Kumar_February2026[[#This Row],[Del Days]]&lt;=15,"Standard",Data_Analyst_Intern_Nikhil_Kumar_February2026[[#This Row],[Del Days]]&gt;15,"Slow")</f>
        <v>Standard</v>
      </c>
      <c r="AB211" t="s">
        <v>34</v>
      </c>
      <c r="AC211">
        <f>IF(Data_Analyst_Intern_Nikhil_Kumar_February2026[[#This Row],[Status]]="RTO", 1,0)</f>
        <v>0</v>
      </c>
      <c r="AD211">
        <f>IF(Data_Analyst_Intern_Nikhil_Kumar_February2026[[#This Row],[Status]]="Delivered",1,0)</f>
        <v>1</v>
      </c>
      <c r="AE211" t="s">
        <v>35</v>
      </c>
      <c r="AF211">
        <f>IF(AND(Data_Analyst_Intern_Nikhil_Kumar_February2026[[#This Row],[Status]]="Delivered",Data_Analyst_Intern_Nikhil_Kumar_February2026[[#This Row],[Return?]]="Yes"),1,0)</f>
        <v>0</v>
      </c>
      <c r="AG211" t="s">
        <v>29</v>
      </c>
      <c r="AI211" t="s">
        <v>36</v>
      </c>
    </row>
    <row r="212" spans="1:35" x14ac:dyDescent="0.3">
      <c r="A212" t="s">
        <v>931</v>
      </c>
      <c r="B212" s="1">
        <v>45622</v>
      </c>
      <c r="C212" s="1" t="str">
        <f>TEXT(Data_Analyst_Intern_Nikhil_Kumar_February2026[[#This Row],[Order Date]], "mmmm")</f>
        <v>November</v>
      </c>
      <c r="D212" s="23">
        <f>WEEKNUM(Data_Analyst_Intern_Nikhil_Kumar_February2026[[#This Row],[Order Date]],2)</f>
        <v>48</v>
      </c>
      <c r="E212" s="23" t="str">
        <f>TEXT(Data_Analyst_Intern_Nikhil_Kumar_February2026[[#This Row],[Order Date]],"dddd")</f>
        <v>Tuesday</v>
      </c>
      <c r="F212" s="1">
        <v>45621</v>
      </c>
      <c r="G212" s="23" t="str">
        <f>TEXT(WEEKDAY(Data_Analyst_Intern_Nikhil_Kumar_February2026[[#This Row],[Order Date]],2), "dddd")</f>
        <v>Monday</v>
      </c>
      <c r="H212" t="s">
        <v>932</v>
      </c>
      <c r="I212" t="s">
        <v>25</v>
      </c>
      <c r="J212" t="s">
        <v>933</v>
      </c>
      <c r="K212" t="s">
        <v>27</v>
      </c>
      <c r="L212" t="s">
        <v>934</v>
      </c>
      <c r="M212" s="2">
        <v>1899</v>
      </c>
      <c r="N212">
        <v>1</v>
      </c>
      <c r="O212" s="2">
        <v>1899</v>
      </c>
      <c r="P212" t="s">
        <v>29</v>
      </c>
      <c r="Q212">
        <v>0</v>
      </c>
      <c r="R212" s="4">
        <f>IFERROR(Data_Analyst_Intern_Nikhil_Kumar_February2026[[#This Row],[Total]]/Data_Analyst_Intern_Nikhil_Kumar_February2026[[#This Row],[Discount(%)]],0)</f>
        <v>0</v>
      </c>
      <c r="S212" s="2">
        <f>Data_Analyst_Intern_Nikhil_Kumar_February2026[[#This Row],[Total]]-Data_Analyst_Intern_Nikhil_Kumar_February2026[[#This Row],[Discount Amount]]</f>
        <v>1899</v>
      </c>
      <c r="T212" t="s">
        <v>112</v>
      </c>
      <c r="U212" t="s">
        <v>31</v>
      </c>
      <c r="V212" t="s">
        <v>46</v>
      </c>
      <c r="W212" t="s">
        <v>46</v>
      </c>
      <c r="X212" t="s">
        <v>46</v>
      </c>
      <c r="Y212" s="1">
        <v>45637</v>
      </c>
      <c r="Z212" s="3">
        <f>Data_Analyst_Intern_Nikhil_Kumar_February2026[[#This Row],[Del Date]]-Data_Analyst_Intern_Nikhil_Kumar_February2026[[#This Row],[Order Date]]</f>
        <v>15</v>
      </c>
      <c r="AA212" s="3" t="str" cm="1">
        <f t="array" ref="AA212">_xlfn.IFS(Data_Analyst_Intern_Nikhil_Kumar_February2026[[#This Row],[Del Days]]&lt;=7,"Fast",Data_Analyst_Intern_Nikhil_Kumar_February2026[[#This Row],[Del Days]]&lt;=15,"Standard",Data_Analyst_Intern_Nikhil_Kumar_February2026[[#This Row],[Del Days]]&gt;15,"Slow")</f>
        <v>Standard</v>
      </c>
      <c r="AB212" t="s">
        <v>34</v>
      </c>
      <c r="AC212">
        <f>IF(Data_Analyst_Intern_Nikhil_Kumar_February2026[[#This Row],[Status]]="RTO", 1,0)</f>
        <v>0</v>
      </c>
      <c r="AD212">
        <f>IF(Data_Analyst_Intern_Nikhil_Kumar_February2026[[#This Row],[Status]]="Delivered",1,0)</f>
        <v>1</v>
      </c>
      <c r="AE212" t="s">
        <v>47</v>
      </c>
      <c r="AF212">
        <f>IF(AND(Data_Analyst_Intern_Nikhil_Kumar_February2026[[#This Row],[Status]]="Delivered",Data_Analyst_Intern_Nikhil_Kumar_February2026[[#This Row],[Return?]]="Yes"),1,0)</f>
        <v>1</v>
      </c>
      <c r="AG212" t="s">
        <v>139</v>
      </c>
      <c r="AH212" s="1">
        <v>45665</v>
      </c>
      <c r="AI212" t="s">
        <v>49</v>
      </c>
    </row>
    <row r="213" spans="1:35" x14ac:dyDescent="0.3">
      <c r="A213" t="s">
        <v>935</v>
      </c>
      <c r="B213" s="1">
        <v>45622</v>
      </c>
      <c r="C213" s="1" t="str">
        <f>TEXT(Data_Analyst_Intern_Nikhil_Kumar_February2026[[#This Row],[Order Date]], "mmmm")</f>
        <v>November</v>
      </c>
      <c r="D213" s="23">
        <f>WEEKNUM(Data_Analyst_Intern_Nikhil_Kumar_February2026[[#This Row],[Order Date]],2)</f>
        <v>48</v>
      </c>
      <c r="E213" s="23" t="str">
        <f>TEXT(Data_Analyst_Intern_Nikhil_Kumar_February2026[[#This Row],[Order Date]],"dddd")</f>
        <v>Tuesday</v>
      </c>
      <c r="F213" s="1">
        <v>45621</v>
      </c>
      <c r="G213" s="23" t="str">
        <f>TEXT(WEEKDAY(Data_Analyst_Intern_Nikhil_Kumar_February2026[[#This Row],[Order Date]],2), "dddd")</f>
        <v>Monday</v>
      </c>
      <c r="H213" t="s">
        <v>936</v>
      </c>
      <c r="I213" t="s">
        <v>25</v>
      </c>
      <c r="J213" t="s">
        <v>937</v>
      </c>
      <c r="K213" t="s">
        <v>41</v>
      </c>
      <c r="L213" t="s">
        <v>938</v>
      </c>
      <c r="M213" s="2">
        <v>3699</v>
      </c>
      <c r="N213">
        <v>1</v>
      </c>
      <c r="O213" s="2">
        <v>3699</v>
      </c>
      <c r="P213" t="s">
        <v>29</v>
      </c>
      <c r="Q213">
        <v>0</v>
      </c>
      <c r="R213" s="4">
        <f>IFERROR(Data_Analyst_Intern_Nikhil_Kumar_February2026[[#This Row],[Total]]/Data_Analyst_Intern_Nikhil_Kumar_February2026[[#This Row],[Discount(%)]],0)</f>
        <v>0</v>
      </c>
      <c r="S213" s="2">
        <f>Data_Analyst_Intern_Nikhil_Kumar_February2026[[#This Row],[Total]]-Data_Analyst_Intern_Nikhil_Kumar_February2026[[#This Row],[Discount Amount]]</f>
        <v>3699</v>
      </c>
      <c r="T213" t="s">
        <v>65</v>
      </c>
      <c r="U213" t="s">
        <v>45</v>
      </c>
      <c r="V213" t="s">
        <v>119</v>
      </c>
      <c r="W213" t="s">
        <v>120</v>
      </c>
      <c r="X213" t="s">
        <v>46</v>
      </c>
      <c r="Y213" s="1">
        <v>45639</v>
      </c>
      <c r="Z213" s="3">
        <f>Data_Analyst_Intern_Nikhil_Kumar_February2026[[#This Row],[Del Date]]-Data_Analyst_Intern_Nikhil_Kumar_February2026[[#This Row],[Order Date]]</f>
        <v>17</v>
      </c>
      <c r="AA213" s="3" t="str" cm="1">
        <f t="array" ref="AA213">_xlfn.IFS(Data_Analyst_Intern_Nikhil_Kumar_February2026[[#This Row],[Del Days]]&lt;=7,"Fast",Data_Analyst_Intern_Nikhil_Kumar_February2026[[#This Row],[Del Days]]&lt;=15,"Standard",Data_Analyst_Intern_Nikhil_Kumar_February2026[[#This Row],[Del Days]]&gt;15,"Slow")</f>
        <v>Slow</v>
      </c>
      <c r="AB213" t="s">
        <v>34</v>
      </c>
      <c r="AC213">
        <f>IF(Data_Analyst_Intern_Nikhil_Kumar_February2026[[#This Row],[Status]]="RTO", 1,0)</f>
        <v>0</v>
      </c>
      <c r="AD213">
        <f>IF(Data_Analyst_Intern_Nikhil_Kumar_February2026[[#This Row],[Status]]="Delivered",1,0)</f>
        <v>1</v>
      </c>
      <c r="AE213" t="s">
        <v>35</v>
      </c>
      <c r="AF213">
        <f>IF(AND(Data_Analyst_Intern_Nikhil_Kumar_February2026[[#This Row],[Status]]="Delivered",Data_Analyst_Intern_Nikhil_Kumar_February2026[[#This Row],[Return?]]="Yes"),1,0)</f>
        <v>0</v>
      </c>
      <c r="AG213" t="s">
        <v>29</v>
      </c>
      <c r="AI213" t="s">
        <v>36</v>
      </c>
    </row>
    <row r="214" spans="1:35" x14ac:dyDescent="0.3">
      <c r="A214" t="s">
        <v>939</v>
      </c>
      <c r="B214" s="1">
        <v>45622</v>
      </c>
      <c r="C214" s="1" t="str">
        <f>TEXT(Data_Analyst_Intern_Nikhil_Kumar_February2026[[#This Row],[Order Date]], "mmmm")</f>
        <v>November</v>
      </c>
      <c r="D214" s="23">
        <f>WEEKNUM(Data_Analyst_Intern_Nikhil_Kumar_February2026[[#This Row],[Order Date]],2)</f>
        <v>48</v>
      </c>
      <c r="E214" s="23" t="str">
        <f>TEXT(Data_Analyst_Intern_Nikhil_Kumar_February2026[[#This Row],[Order Date]],"dddd")</f>
        <v>Tuesday</v>
      </c>
      <c r="F214" s="1">
        <v>45621</v>
      </c>
      <c r="G214" s="23" t="str">
        <f>TEXT(WEEKDAY(Data_Analyst_Intern_Nikhil_Kumar_February2026[[#This Row],[Order Date]],2), "dddd")</f>
        <v>Monday</v>
      </c>
      <c r="H214" t="s">
        <v>940</v>
      </c>
      <c r="I214" t="s">
        <v>39</v>
      </c>
      <c r="J214" t="s">
        <v>941</v>
      </c>
      <c r="K214" t="s">
        <v>54</v>
      </c>
      <c r="L214" t="s">
        <v>942</v>
      </c>
      <c r="M214" s="2">
        <v>2699</v>
      </c>
      <c r="N214">
        <v>1</v>
      </c>
      <c r="O214" s="2">
        <v>2699</v>
      </c>
      <c r="P214" t="s">
        <v>703</v>
      </c>
      <c r="Q214">
        <v>15</v>
      </c>
      <c r="R214" s="4">
        <f>IFERROR(Data_Analyst_Intern_Nikhil_Kumar_February2026[[#This Row],[Total]]/Data_Analyst_Intern_Nikhil_Kumar_February2026[[#This Row],[Discount(%)]],0)</f>
        <v>179.93333333333334</v>
      </c>
      <c r="S214" s="2">
        <f>Data_Analyst_Intern_Nikhil_Kumar_February2026[[#This Row],[Total]]-Data_Analyst_Intern_Nikhil_Kumar_February2026[[#This Row],[Discount Amount]]</f>
        <v>2519.0666666666666</v>
      </c>
      <c r="T214" t="s">
        <v>30</v>
      </c>
      <c r="U214" t="s">
        <v>66</v>
      </c>
      <c r="V214" t="s">
        <v>138</v>
      </c>
      <c r="W214" t="s">
        <v>114</v>
      </c>
      <c r="X214" t="s">
        <v>46</v>
      </c>
      <c r="Y214" s="1">
        <v>45637</v>
      </c>
      <c r="Z214" s="3">
        <f>Data_Analyst_Intern_Nikhil_Kumar_February2026[[#This Row],[Del Date]]-Data_Analyst_Intern_Nikhil_Kumar_February2026[[#This Row],[Order Date]]</f>
        <v>15</v>
      </c>
      <c r="AA214" s="3" t="str" cm="1">
        <f t="array" ref="AA214">_xlfn.IFS(Data_Analyst_Intern_Nikhil_Kumar_February2026[[#This Row],[Del Days]]&lt;=7,"Fast",Data_Analyst_Intern_Nikhil_Kumar_February2026[[#This Row],[Del Days]]&lt;=15,"Standard",Data_Analyst_Intern_Nikhil_Kumar_February2026[[#This Row],[Del Days]]&gt;15,"Slow")</f>
        <v>Standard</v>
      </c>
      <c r="AB214" t="s">
        <v>34</v>
      </c>
      <c r="AC214">
        <f>IF(Data_Analyst_Intern_Nikhil_Kumar_February2026[[#This Row],[Status]]="RTO", 1,0)</f>
        <v>0</v>
      </c>
      <c r="AD214">
        <f>IF(Data_Analyst_Intern_Nikhil_Kumar_February2026[[#This Row],[Status]]="Delivered",1,0)</f>
        <v>1</v>
      </c>
      <c r="AE214" t="s">
        <v>47</v>
      </c>
      <c r="AF214">
        <f>IF(AND(Data_Analyst_Intern_Nikhil_Kumar_February2026[[#This Row],[Status]]="Delivered",Data_Analyst_Intern_Nikhil_Kumar_February2026[[#This Row],[Return?]]="Yes"),1,0)</f>
        <v>1</v>
      </c>
      <c r="AG214" t="s">
        <v>69</v>
      </c>
      <c r="AH214" s="1">
        <v>45666</v>
      </c>
      <c r="AI214" t="s">
        <v>49</v>
      </c>
    </row>
    <row r="215" spans="1:35" x14ac:dyDescent="0.3">
      <c r="A215" t="s">
        <v>943</v>
      </c>
      <c r="B215" s="1">
        <v>45623</v>
      </c>
      <c r="C215" s="1" t="str">
        <f>TEXT(Data_Analyst_Intern_Nikhil_Kumar_February2026[[#This Row],[Order Date]], "mmmm")</f>
        <v>November</v>
      </c>
      <c r="D215" s="23">
        <f>WEEKNUM(Data_Analyst_Intern_Nikhil_Kumar_February2026[[#This Row],[Order Date]],2)</f>
        <v>48</v>
      </c>
      <c r="E215" s="23" t="str">
        <f>TEXT(Data_Analyst_Intern_Nikhil_Kumar_February2026[[#This Row],[Order Date]],"dddd")</f>
        <v>Wednesday</v>
      </c>
      <c r="F215" s="1">
        <v>45621</v>
      </c>
      <c r="G215" s="23" t="str">
        <f>TEXT(WEEKDAY(Data_Analyst_Intern_Nikhil_Kumar_February2026[[#This Row],[Order Date]],2), "dddd")</f>
        <v>Tuesday</v>
      </c>
      <c r="H215" t="s">
        <v>944</v>
      </c>
      <c r="I215" t="s">
        <v>25</v>
      </c>
      <c r="J215" t="s">
        <v>945</v>
      </c>
      <c r="K215" t="s">
        <v>62</v>
      </c>
      <c r="L215" t="s">
        <v>946</v>
      </c>
      <c r="M215" s="2">
        <v>4999</v>
      </c>
      <c r="N215">
        <v>1</v>
      </c>
      <c r="O215" s="2">
        <v>4999</v>
      </c>
      <c r="P215" t="s">
        <v>29</v>
      </c>
      <c r="Q215">
        <v>0</v>
      </c>
      <c r="R215" s="4">
        <f>IFERROR(Data_Analyst_Intern_Nikhil_Kumar_February2026[[#This Row],[Total]]/Data_Analyst_Intern_Nikhil_Kumar_February2026[[#This Row],[Discount(%)]],0)</f>
        <v>0</v>
      </c>
      <c r="S215" s="2">
        <f>Data_Analyst_Intern_Nikhil_Kumar_February2026[[#This Row],[Total]]-Data_Analyst_Intern_Nikhil_Kumar_February2026[[#This Row],[Discount Amount]]</f>
        <v>4999</v>
      </c>
      <c r="T215" t="s">
        <v>44</v>
      </c>
      <c r="U215" t="s">
        <v>31</v>
      </c>
      <c r="V215" t="s">
        <v>144</v>
      </c>
      <c r="W215" t="s">
        <v>145</v>
      </c>
      <c r="X215" t="s">
        <v>46</v>
      </c>
      <c r="Y215" s="1">
        <v>45640</v>
      </c>
      <c r="Z215" s="3">
        <f>Data_Analyst_Intern_Nikhil_Kumar_February2026[[#This Row],[Del Date]]-Data_Analyst_Intern_Nikhil_Kumar_February2026[[#This Row],[Order Date]]</f>
        <v>17</v>
      </c>
      <c r="AA215" s="3" t="str" cm="1">
        <f t="array" ref="AA215">_xlfn.IFS(Data_Analyst_Intern_Nikhil_Kumar_February2026[[#This Row],[Del Days]]&lt;=7,"Fast",Data_Analyst_Intern_Nikhil_Kumar_February2026[[#This Row],[Del Days]]&lt;=15,"Standard",Data_Analyst_Intern_Nikhil_Kumar_February2026[[#This Row],[Del Days]]&gt;15,"Slow")</f>
        <v>Slow</v>
      </c>
      <c r="AB215" t="s">
        <v>34</v>
      </c>
      <c r="AC215">
        <f>IF(Data_Analyst_Intern_Nikhil_Kumar_February2026[[#This Row],[Status]]="RTO", 1,0)</f>
        <v>0</v>
      </c>
      <c r="AD215">
        <f>IF(Data_Analyst_Intern_Nikhil_Kumar_February2026[[#This Row],[Status]]="Delivered",1,0)</f>
        <v>1</v>
      </c>
      <c r="AE215" t="s">
        <v>47</v>
      </c>
      <c r="AF215">
        <f>IF(AND(Data_Analyst_Intern_Nikhil_Kumar_February2026[[#This Row],[Status]]="Delivered",Data_Analyst_Intern_Nikhil_Kumar_February2026[[#This Row],[Return?]]="Yes"),1,0)</f>
        <v>1</v>
      </c>
      <c r="AG215" t="s">
        <v>48</v>
      </c>
      <c r="AH215" s="1">
        <v>45669</v>
      </c>
      <c r="AI215" t="s">
        <v>49</v>
      </c>
    </row>
    <row r="216" spans="1:35" x14ac:dyDescent="0.3">
      <c r="A216" t="s">
        <v>947</v>
      </c>
      <c r="B216" s="1">
        <v>45623</v>
      </c>
      <c r="C216" s="1" t="str">
        <f>TEXT(Data_Analyst_Intern_Nikhil_Kumar_February2026[[#This Row],[Order Date]], "mmmm")</f>
        <v>November</v>
      </c>
      <c r="D216" s="23">
        <f>WEEKNUM(Data_Analyst_Intern_Nikhil_Kumar_February2026[[#This Row],[Order Date]],2)</f>
        <v>48</v>
      </c>
      <c r="E216" s="23" t="str">
        <f>TEXT(Data_Analyst_Intern_Nikhil_Kumar_February2026[[#This Row],[Order Date]],"dddd")</f>
        <v>Wednesday</v>
      </c>
      <c r="F216" s="1">
        <v>45621</v>
      </c>
      <c r="G216" s="23" t="str">
        <f>TEXT(WEEKDAY(Data_Analyst_Intern_Nikhil_Kumar_February2026[[#This Row],[Order Date]],2), "dddd")</f>
        <v>Tuesday</v>
      </c>
      <c r="H216" t="s">
        <v>948</v>
      </c>
      <c r="I216" t="s">
        <v>25</v>
      </c>
      <c r="J216" t="s">
        <v>949</v>
      </c>
      <c r="K216" t="s">
        <v>72</v>
      </c>
      <c r="L216" t="s">
        <v>950</v>
      </c>
      <c r="M216" s="2">
        <v>899</v>
      </c>
      <c r="N216">
        <v>2</v>
      </c>
      <c r="O216" s="2">
        <v>1798</v>
      </c>
      <c r="P216" t="s">
        <v>29</v>
      </c>
      <c r="Q216">
        <v>0</v>
      </c>
      <c r="R216" s="4">
        <f>IFERROR(Data_Analyst_Intern_Nikhil_Kumar_February2026[[#This Row],[Total]]/Data_Analyst_Intern_Nikhil_Kumar_February2026[[#This Row],[Discount(%)]],0)</f>
        <v>0</v>
      </c>
      <c r="S216" s="2">
        <f>Data_Analyst_Intern_Nikhil_Kumar_February2026[[#This Row],[Total]]-Data_Analyst_Intern_Nikhil_Kumar_February2026[[#This Row],[Discount Amount]]</f>
        <v>1798</v>
      </c>
      <c r="T216" t="s">
        <v>56</v>
      </c>
      <c r="U216" t="s">
        <v>45</v>
      </c>
      <c r="V216" t="s">
        <v>150</v>
      </c>
      <c r="W216" t="s">
        <v>151</v>
      </c>
      <c r="X216" t="s">
        <v>32</v>
      </c>
      <c r="Y216" s="1">
        <v>45638</v>
      </c>
      <c r="Z216" s="3">
        <f>Data_Analyst_Intern_Nikhil_Kumar_February2026[[#This Row],[Del Date]]-Data_Analyst_Intern_Nikhil_Kumar_February2026[[#This Row],[Order Date]]</f>
        <v>15</v>
      </c>
      <c r="AA216" s="3" t="str" cm="1">
        <f t="array" ref="AA216">_xlfn.IFS(Data_Analyst_Intern_Nikhil_Kumar_February2026[[#This Row],[Del Days]]&lt;=7,"Fast",Data_Analyst_Intern_Nikhil_Kumar_February2026[[#This Row],[Del Days]]&lt;=15,"Standard",Data_Analyst_Intern_Nikhil_Kumar_February2026[[#This Row],[Del Days]]&gt;15,"Slow")</f>
        <v>Standard</v>
      </c>
      <c r="AB216" t="s">
        <v>34</v>
      </c>
      <c r="AC216">
        <f>IF(Data_Analyst_Intern_Nikhil_Kumar_February2026[[#This Row],[Status]]="RTO", 1,0)</f>
        <v>0</v>
      </c>
      <c r="AD216">
        <f>IF(Data_Analyst_Intern_Nikhil_Kumar_February2026[[#This Row],[Status]]="Delivered",1,0)</f>
        <v>1</v>
      </c>
      <c r="AE216" t="s">
        <v>35</v>
      </c>
      <c r="AF216">
        <f>IF(AND(Data_Analyst_Intern_Nikhil_Kumar_February2026[[#This Row],[Status]]="Delivered",Data_Analyst_Intern_Nikhil_Kumar_February2026[[#This Row],[Return?]]="Yes"),1,0)</f>
        <v>0</v>
      </c>
      <c r="AG216" t="s">
        <v>29</v>
      </c>
      <c r="AI216" t="s">
        <v>36</v>
      </c>
    </row>
    <row r="217" spans="1:35" x14ac:dyDescent="0.3">
      <c r="A217" t="s">
        <v>951</v>
      </c>
      <c r="B217" s="1">
        <v>45623</v>
      </c>
      <c r="C217" s="1" t="str">
        <f>TEXT(Data_Analyst_Intern_Nikhil_Kumar_February2026[[#This Row],[Order Date]], "mmmm")</f>
        <v>November</v>
      </c>
      <c r="D217" s="23">
        <f>WEEKNUM(Data_Analyst_Intern_Nikhil_Kumar_February2026[[#This Row],[Order Date]],2)</f>
        <v>48</v>
      </c>
      <c r="E217" s="23" t="str">
        <f>TEXT(Data_Analyst_Intern_Nikhil_Kumar_February2026[[#This Row],[Order Date]],"dddd")</f>
        <v>Wednesday</v>
      </c>
      <c r="F217" s="1">
        <v>45621</v>
      </c>
      <c r="G217" s="23" t="str">
        <f>TEXT(WEEKDAY(Data_Analyst_Intern_Nikhil_Kumar_February2026[[#This Row],[Order Date]],2), "dddd")</f>
        <v>Tuesday</v>
      </c>
      <c r="H217" t="s">
        <v>952</v>
      </c>
      <c r="I217" t="s">
        <v>25</v>
      </c>
      <c r="J217" t="s">
        <v>953</v>
      </c>
      <c r="K217" t="s">
        <v>27</v>
      </c>
      <c r="L217" t="s">
        <v>954</v>
      </c>
      <c r="M217" s="2">
        <v>1599</v>
      </c>
      <c r="N217">
        <v>1</v>
      </c>
      <c r="O217" s="2">
        <v>1599</v>
      </c>
      <c r="P217" t="s">
        <v>29</v>
      </c>
      <c r="Q217">
        <v>0</v>
      </c>
      <c r="R217" s="4">
        <f>IFERROR(Data_Analyst_Intern_Nikhil_Kumar_February2026[[#This Row],[Total]]/Data_Analyst_Intern_Nikhil_Kumar_February2026[[#This Row],[Discount(%)]],0)</f>
        <v>0</v>
      </c>
      <c r="S217" s="2">
        <f>Data_Analyst_Intern_Nikhil_Kumar_February2026[[#This Row],[Total]]-Data_Analyst_Intern_Nikhil_Kumar_February2026[[#This Row],[Discount Amount]]</f>
        <v>1599</v>
      </c>
      <c r="T217" t="s">
        <v>30</v>
      </c>
      <c r="U217" t="s">
        <v>66</v>
      </c>
      <c r="V217" t="s">
        <v>156</v>
      </c>
      <c r="W217" t="s">
        <v>98</v>
      </c>
      <c r="X217" t="s">
        <v>32</v>
      </c>
      <c r="Y217" s="1">
        <v>45639</v>
      </c>
      <c r="Z217" s="3">
        <f>Data_Analyst_Intern_Nikhil_Kumar_February2026[[#This Row],[Del Date]]-Data_Analyst_Intern_Nikhil_Kumar_February2026[[#This Row],[Order Date]]</f>
        <v>16</v>
      </c>
      <c r="AA217" s="3" t="str" cm="1">
        <f t="array" ref="AA217">_xlfn.IFS(Data_Analyst_Intern_Nikhil_Kumar_February2026[[#This Row],[Del Days]]&lt;=7,"Fast",Data_Analyst_Intern_Nikhil_Kumar_February2026[[#This Row],[Del Days]]&lt;=15,"Standard",Data_Analyst_Intern_Nikhil_Kumar_February2026[[#This Row],[Del Days]]&gt;15,"Slow")</f>
        <v>Slow</v>
      </c>
      <c r="AB217" t="s">
        <v>34</v>
      </c>
      <c r="AC217">
        <f>IF(Data_Analyst_Intern_Nikhil_Kumar_February2026[[#This Row],[Status]]="RTO", 1,0)</f>
        <v>0</v>
      </c>
      <c r="AD217">
        <f>IF(Data_Analyst_Intern_Nikhil_Kumar_February2026[[#This Row],[Status]]="Delivered",1,0)</f>
        <v>1</v>
      </c>
      <c r="AE217" t="s">
        <v>47</v>
      </c>
      <c r="AF217">
        <f>IF(AND(Data_Analyst_Intern_Nikhil_Kumar_February2026[[#This Row],[Status]]="Delivered",Data_Analyst_Intern_Nikhil_Kumar_February2026[[#This Row],[Return?]]="Yes"),1,0)</f>
        <v>1</v>
      </c>
      <c r="AG217" t="s">
        <v>105</v>
      </c>
      <c r="AH217" s="1">
        <v>45667</v>
      </c>
      <c r="AI217" t="s">
        <v>49</v>
      </c>
    </row>
    <row r="218" spans="1:35" x14ac:dyDescent="0.3">
      <c r="A218" t="s">
        <v>955</v>
      </c>
      <c r="B218" s="1">
        <v>45624</v>
      </c>
      <c r="C218" s="1" t="str">
        <f>TEXT(Data_Analyst_Intern_Nikhil_Kumar_February2026[[#This Row],[Order Date]], "mmmm")</f>
        <v>November</v>
      </c>
      <c r="D218" s="23">
        <f>WEEKNUM(Data_Analyst_Intern_Nikhil_Kumar_February2026[[#This Row],[Order Date]],2)</f>
        <v>48</v>
      </c>
      <c r="E218" s="23" t="str">
        <f>TEXT(Data_Analyst_Intern_Nikhil_Kumar_February2026[[#This Row],[Order Date]],"dddd")</f>
        <v>Thursday</v>
      </c>
      <c r="F218" s="1">
        <v>45621</v>
      </c>
      <c r="G218" s="23" t="str">
        <f>TEXT(WEEKDAY(Data_Analyst_Intern_Nikhil_Kumar_February2026[[#This Row],[Order Date]],2), "dddd")</f>
        <v>Wednesday</v>
      </c>
      <c r="H218" t="s">
        <v>956</v>
      </c>
      <c r="I218" t="s">
        <v>25</v>
      </c>
      <c r="J218" t="s">
        <v>957</v>
      </c>
      <c r="K218" t="s">
        <v>41</v>
      </c>
      <c r="L218" t="s">
        <v>958</v>
      </c>
      <c r="M218" s="2">
        <v>2599</v>
      </c>
      <c r="N218">
        <v>1</v>
      </c>
      <c r="O218" s="2">
        <v>2599</v>
      </c>
      <c r="P218" t="s">
        <v>703</v>
      </c>
      <c r="Q218">
        <v>15</v>
      </c>
      <c r="R218" s="4">
        <f>IFERROR(Data_Analyst_Intern_Nikhil_Kumar_February2026[[#This Row],[Total]]/Data_Analyst_Intern_Nikhil_Kumar_February2026[[#This Row],[Discount(%)]],0)</f>
        <v>173.26666666666668</v>
      </c>
      <c r="S218" s="2">
        <f>Data_Analyst_Intern_Nikhil_Kumar_February2026[[#This Row],[Total]]-Data_Analyst_Intern_Nikhil_Kumar_February2026[[#This Row],[Discount Amount]]</f>
        <v>2425.7333333333331</v>
      </c>
      <c r="T218" t="s">
        <v>112</v>
      </c>
      <c r="U218" t="s">
        <v>31</v>
      </c>
      <c r="V218" t="s">
        <v>161</v>
      </c>
      <c r="W218" t="s">
        <v>162</v>
      </c>
      <c r="X218" t="s">
        <v>46</v>
      </c>
      <c r="Y218" s="1">
        <v>45641</v>
      </c>
      <c r="Z218" s="3">
        <f>Data_Analyst_Intern_Nikhil_Kumar_February2026[[#This Row],[Del Date]]-Data_Analyst_Intern_Nikhil_Kumar_February2026[[#This Row],[Order Date]]</f>
        <v>17</v>
      </c>
      <c r="AA218" s="3" t="str" cm="1">
        <f t="array" ref="AA218">_xlfn.IFS(Data_Analyst_Intern_Nikhil_Kumar_February2026[[#This Row],[Del Days]]&lt;=7,"Fast",Data_Analyst_Intern_Nikhil_Kumar_February2026[[#This Row],[Del Days]]&lt;=15,"Standard",Data_Analyst_Intern_Nikhil_Kumar_February2026[[#This Row],[Del Days]]&gt;15,"Slow")</f>
        <v>Slow</v>
      </c>
      <c r="AB218" t="s">
        <v>34</v>
      </c>
      <c r="AC218">
        <f>IF(Data_Analyst_Intern_Nikhil_Kumar_February2026[[#This Row],[Status]]="RTO", 1,0)</f>
        <v>0</v>
      </c>
      <c r="AD218">
        <f>IF(Data_Analyst_Intern_Nikhil_Kumar_February2026[[#This Row],[Status]]="Delivered",1,0)</f>
        <v>1</v>
      </c>
      <c r="AE218" t="s">
        <v>35</v>
      </c>
      <c r="AF218">
        <f>IF(AND(Data_Analyst_Intern_Nikhil_Kumar_February2026[[#This Row],[Status]]="Delivered",Data_Analyst_Intern_Nikhil_Kumar_February2026[[#This Row],[Return?]]="Yes"),1,0)</f>
        <v>0</v>
      </c>
      <c r="AG218" t="s">
        <v>29</v>
      </c>
      <c r="AI218" t="s">
        <v>36</v>
      </c>
    </row>
    <row r="219" spans="1:35" x14ac:dyDescent="0.3">
      <c r="A219" t="s">
        <v>959</v>
      </c>
      <c r="B219" s="1">
        <v>45624</v>
      </c>
      <c r="C219" s="1" t="str">
        <f>TEXT(Data_Analyst_Intern_Nikhil_Kumar_February2026[[#This Row],[Order Date]], "mmmm")</f>
        <v>November</v>
      </c>
      <c r="D219" s="23">
        <f>WEEKNUM(Data_Analyst_Intern_Nikhil_Kumar_February2026[[#This Row],[Order Date]],2)</f>
        <v>48</v>
      </c>
      <c r="E219" s="23" t="str">
        <f>TEXT(Data_Analyst_Intern_Nikhil_Kumar_February2026[[#This Row],[Order Date]],"dddd")</f>
        <v>Thursday</v>
      </c>
      <c r="F219" s="1">
        <v>45621</v>
      </c>
      <c r="G219" s="23" t="str">
        <f>TEXT(WEEKDAY(Data_Analyst_Intern_Nikhil_Kumar_February2026[[#This Row],[Order Date]],2), "dddd")</f>
        <v>Wednesday</v>
      </c>
      <c r="H219" t="s">
        <v>960</v>
      </c>
      <c r="I219" t="s">
        <v>39</v>
      </c>
      <c r="J219" t="s">
        <v>961</v>
      </c>
      <c r="K219" t="s">
        <v>54</v>
      </c>
      <c r="L219" t="s">
        <v>962</v>
      </c>
      <c r="M219" s="2">
        <v>2399</v>
      </c>
      <c r="N219">
        <v>1</v>
      </c>
      <c r="O219" s="2">
        <v>2399</v>
      </c>
      <c r="P219" t="s">
        <v>29</v>
      </c>
      <c r="Q219">
        <v>0</v>
      </c>
      <c r="R219" s="4">
        <f>IFERROR(Data_Analyst_Intern_Nikhil_Kumar_February2026[[#This Row],[Total]]/Data_Analyst_Intern_Nikhil_Kumar_February2026[[#This Row],[Discount(%)]],0)</f>
        <v>0</v>
      </c>
      <c r="S219" s="2">
        <f>Data_Analyst_Intern_Nikhil_Kumar_February2026[[#This Row],[Total]]-Data_Analyst_Intern_Nikhil_Kumar_February2026[[#This Row],[Discount Amount]]</f>
        <v>2399</v>
      </c>
      <c r="T219" t="s">
        <v>65</v>
      </c>
      <c r="U219" t="s">
        <v>45</v>
      </c>
      <c r="V219" t="s">
        <v>167</v>
      </c>
      <c r="W219" t="s">
        <v>151</v>
      </c>
      <c r="X219" t="s">
        <v>32</v>
      </c>
      <c r="Y219" s="1">
        <v>45639</v>
      </c>
      <c r="Z219" s="3">
        <f>Data_Analyst_Intern_Nikhil_Kumar_February2026[[#This Row],[Del Date]]-Data_Analyst_Intern_Nikhil_Kumar_February2026[[#This Row],[Order Date]]</f>
        <v>15</v>
      </c>
      <c r="AA219" s="3" t="str" cm="1">
        <f t="array" ref="AA219">_xlfn.IFS(Data_Analyst_Intern_Nikhil_Kumar_February2026[[#This Row],[Del Days]]&lt;=7,"Fast",Data_Analyst_Intern_Nikhil_Kumar_February2026[[#This Row],[Del Days]]&lt;=15,"Standard",Data_Analyst_Intern_Nikhil_Kumar_February2026[[#This Row],[Del Days]]&gt;15,"Slow")</f>
        <v>Standard</v>
      </c>
      <c r="AB219" t="s">
        <v>34</v>
      </c>
      <c r="AC219">
        <f>IF(Data_Analyst_Intern_Nikhil_Kumar_February2026[[#This Row],[Status]]="RTO", 1,0)</f>
        <v>0</v>
      </c>
      <c r="AD219">
        <f>IF(Data_Analyst_Intern_Nikhil_Kumar_February2026[[#This Row],[Status]]="Delivered",1,0)</f>
        <v>1</v>
      </c>
      <c r="AE219" t="s">
        <v>47</v>
      </c>
      <c r="AF219">
        <f>IF(AND(Data_Analyst_Intern_Nikhil_Kumar_February2026[[#This Row],[Status]]="Delivered",Data_Analyst_Intern_Nikhil_Kumar_February2026[[#This Row],[Return?]]="Yes"),1,0)</f>
        <v>1</v>
      </c>
      <c r="AG219" t="s">
        <v>80</v>
      </c>
      <c r="AH219" s="1">
        <v>45668</v>
      </c>
      <c r="AI219" t="s">
        <v>49</v>
      </c>
    </row>
    <row r="220" spans="1:35" x14ac:dyDescent="0.3">
      <c r="A220" t="s">
        <v>963</v>
      </c>
      <c r="B220" s="1">
        <v>45624</v>
      </c>
      <c r="C220" s="1" t="str">
        <f>TEXT(Data_Analyst_Intern_Nikhil_Kumar_February2026[[#This Row],[Order Date]], "mmmm")</f>
        <v>November</v>
      </c>
      <c r="D220" s="23">
        <f>WEEKNUM(Data_Analyst_Intern_Nikhil_Kumar_February2026[[#This Row],[Order Date]],2)</f>
        <v>48</v>
      </c>
      <c r="E220" s="23" t="str">
        <f>TEXT(Data_Analyst_Intern_Nikhil_Kumar_February2026[[#This Row],[Order Date]],"dddd")</f>
        <v>Thursday</v>
      </c>
      <c r="F220" s="1">
        <v>45621</v>
      </c>
      <c r="G220" s="23" t="str">
        <f>TEXT(WEEKDAY(Data_Analyst_Intern_Nikhil_Kumar_February2026[[#This Row],[Order Date]],2), "dddd")</f>
        <v>Wednesday</v>
      </c>
      <c r="H220" t="s">
        <v>964</v>
      </c>
      <c r="I220" t="s">
        <v>25</v>
      </c>
      <c r="J220" t="s">
        <v>965</v>
      </c>
      <c r="K220" t="s">
        <v>62</v>
      </c>
      <c r="L220" t="s">
        <v>966</v>
      </c>
      <c r="M220" s="2">
        <v>6499</v>
      </c>
      <c r="N220">
        <v>1</v>
      </c>
      <c r="O220" s="2">
        <v>6499</v>
      </c>
      <c r="P220" t="s">
        <v>29</v>
      </c>
      <c r="Q220">
        <v>0</v>
      </c>
      <c r="R220" s="4">
        <f>IFERROR(Data_Analyst_Intern_Nikhil_Kumar_February2026[[#This Row],[Total]]/Data_Analyst_Intern_Nikhil_Kumar_February2026[[#This Row],[Discount(%)]],0)</f>
        <v>0</v>
      </c>
      <c r="S220" s="2">
        <f>Data_Analyst_Intern_Nikhil_Kumar_February2026[[#This Row],[Total]]-Data_Analyst_Intern_Nikhil_Kumar_February2026[[#This Row],[Discount Amount]]</f>
        <v>6499</v>
      </c>
      <c r="T220" t="s">
        <v>44</v>
      </c>
      <c r="U220" t="s">
        <v>66</v>
      </c>
      <c r="V220" t="s">
        <v>172</v>
      </c>
      <c r="W220" t="s">
        <v>33</v>
      </c>
      <c r="X220" t="s">
        <v>32</v>
      </c>
      <c r="Y220" s="1">
        <v>45642</v>
      </c>
      <c r="Z220" s="3">
        <f>Data_Analyst_Intern_Nikhil_Kumar_February2026[[#This Row],[Del Date]]-Data_Analyst_Intern_Nikhil_Kumar_February2026[[#This Row],[Order Date]]</f>
        <v>18</v>
      </c>
      <c r="AA220" s="3" t="str" cm="1">
        <f t="array" ref="AA220">_xlfn.IFS(Data_Analyst_Intern_Nikhil_Kumar_February2026[[#This Row],[Del Days]]&lt;=7,"Fast",Data_Analyst_Intern_Nikhil_Kumar_February2026[[#This Row],[Del Days]]&lt;=15,"Standard",Data_Analyst_Intern_Nikhil_Kumar_February2026[[#This Row],[Del Days]]&gt;15,"Slow")</f>
        <v>Slow</v>
      </c>
      <c r="AB220" t="s">
        <v>34</v>
      </c>
      <c r="AC220">
        <f>IF(Data_Analyst_Intern_Nikhil_Kumar_February2026[[#This Row],[Status]]="RTO", 1,0)</f>
        <v>0</v>
      </c>
      <c r="AD220">
        <f>IF(Data_Analyst_Intern_Nikhil_Kumar_February2026[[#This Row],[Status]]="Delivered",1,0)</f>
        <v>1</v>
      </c>
      <c r="AE220" t="s">
        <v>47</v>
      </c>
      <c r="AF220">
        <f>IF(AND(Data_Analyst_Intern_Nikhil_Kumar_February2026[[#This Row],[Status]]="Delivered",Data_Analyst_Intern_Nikhil_Kumar_February2026[[#This Row],[Return?]]="Yes"),1,0)</f>
        <v>1</v>
      </c>
      <c r="AG220" t="s">
        <v>48</v>
      </c>
      <c r="AH220" s="1">
        <v>45671</v>
      </c>
      <c r="AI220" t="s">
        <v>49</v>
      </c>
    </row>
    <row r="221" spans="1:35" x14ac:dyDescent="0.3">
      <c r="A221" t="s">
        <v>967</v>
      </c>
      <c r="B221" s="1">
        <v>45625</v>
      </c>
      <c r="C221" s="1" t="str">
        <f>TEXT(Data_Analyst_Intern_Nikhil_Kumar_February2026[[#This Row],[Order Date]], "mmmm")</f>
        <v>November</v>
      </c>
      <c r="D221" s="23">
        <f>WEEKNUM(Data_Analyst_Intern_Nikhil_Kumar_February2026[[#This Row],[Order Date]],2)</f>
        <v>48</v>
      </c>
      <c r="E221" s="23" t="str">
        <f>TEXT(Data_Analyst_Intern_Nikhil_Kumar_February2026[[#This Row],[Order Date]],"dddd")</f>
        <v>Friday</v>
      </c>
      <c r="F221" s="1">
        <v>45621</v>
      </c>
      <c r="G221" s="23" t="str">
        <f>TEXT(WEEKDAY(Data_Analyst_Intern_Nikhil_Kumar_February2026[[#This Row],[Order Date]],2), "dddd")</f>
        <v>Thursday</v>
      </c>
      <c r="H221" t="s">
        <v>968</v>
      </c>
      <c r="I221" t="s">
        <v>25</v>
      </c>
      <c r="J221" t="s">
        <v>969</v>
      </c>
      <c r="K221" t="s">
        <v>72</v>
      </c>
      <c r="L221" t="s">
        <v>970</v>
      </c>
      <c r="M221" s="2">
        <v>499</v>
      </c>
      <c r="N221">
        <v>2</v>
      </c>
      <c r="O221" s="2">
        <v>998</v>
      </c>
      <c r="P221" t="s">
        <v>29</v>
      </c>
      <c r="Q221">
        <v>0</v>
      </c>
      <c r="R221" s="4">
        <f>IFERROR(Data_Analyst_Intern_Nikhil_Kumar_February2026[[#This Row],[Total]]/Data_Analyst_Intern_Nikhil_Kumar_February2026[[#This Row],[Discount(%)]],0)</f>
        <v>0</v>
      </c>
      <c r="S221" s="2">
        <f>Data_Analyst_Intern_Nikhil_Kumar_February2026[[#This Row],[Total]]-Data_Analyst_Intern_Nikhil_Kumar_February2026[[#This Row],[Discount Amount]]</f>
        <v>998</v>
      </c>
      <c r="T221" t="s">
        <v>30</v>
      </c>
      <c r="U221" t="s">
        <v>31</v>
      </c>
      <c r="V221" t="s">
        <v>177</v>
      </c>
      <c r="W221" t="s">
        <v>68</v>
      </c>
      <c r="X221" t="s">
        <v>57</v>
      </c>
      <c r="Y221" s="1">
        <v>45640</v>
      </c>
      <c r="Z221" s="3">
        <f>Data_Analyst_Intern_Nikhil_Kumar_February2026[[#This Row],[Del Date]]-Data_Analyst_Intern_Nikhil_Kumar_February2026[[#This Row],[Order Date]]</f>
        <v>15</v>
      </c>
      <c r="AA221" s="3" t="str" cm="1">
        <f t="array" ref="AA221">_xlfn.IFS(Data_Analyst_Intern_Nikhil_Kumar_February2026[[#This Row],[Del Days]]&lt;=7,"Fast",Data_Analyst_Intern_Nikhil_Kumar_February2026[[#This Row],[Del Days]]&lt;=15,"Standard",Data_Analyst_Intern_Nikhil_Kumar_February2026[[#This Row],[Del Days]]&gt;15,"Slow")</f>
        <v>Standard</v>
      </c>
      <c r="AB221" t="s">
        <v>34</v>
      </c>
      <c r="AC221">
        <f>IF(Data_Analyst_Intern_Nikhil_Kumar_February2026[[#This Row],[Status]]="RTO", 1,0)</f>
        <v>0</v>
      </c>
      <c r="AD221">
        <f>IF(Data_Analyst_Intern_Nikhil_Kumar_February2026[[#This Row],[Status]]="Delivered",1,0)</f>
        <v>1</v>
      </c>
      <c r="AE221" t="s">
        <v>35</v>
      </c>
      <c r="AF221">
        <f>IF(AND(Data_Analyst_Intern_Nikhil_Kumar_February2026[[#This Row],[Status]]="Delivered",Data_Analyst_Intern_Nikhil_Kumar_February2026[[#This Row],[Return?]]="Yes"),1,0)</f>
        <v>0</v>
      </c>
      <c r="AG221" t="s">
        <v>29</v>
      </c>
      <c r="AI221" t="s">
        <v>36</v>
      </c>
    </row>
    <row r="222" spans="1:35" x14ac:dyDescent="0.3">
      <c r="A222" t="s">
        <v>971</v>
      </c>
      <c r="B222" s="1">
        <v>45625</v>
      </c>
      <c r="C222" s="1" t="str">
        <f>TEXT(Data_Analyst_Intern_Nikhil_Kumar_February2026[[#This Row],[Order Date]], "mmmm")</f>
        <v>November</v>
      </c>
      <c r="D222" s="23">
        <f>WEEKNUM(Data_Analyst_Intern_Nikhil_Kumar_February2026[[#This Row],[Order Date]],2)</f>
        <v>48</v>
      </c>
      <c r="E222" s="23" t="str">
        <f>TEXT(Data_Analyst_Intern_Nikhil_Kumar_February2026[[#This Row],[Order Date]],"dddd")</f>
        <v>Friday</v>
      </c>
      <c r="F222" s="1">
        <v>45621</v>
      </c>
      <c r="G222" s="23" t="str">
        <f>TEXT(WEEKDAY(Data_Analyst_Intern_Nikhil_Kumar_February2026[[#This Row],[Order Date]],2), "dddd")</f>
        <v>Thursday</v>
      </c>
      <c r="H222" t="s">
        <v>972</v>
      </c>
      <c r="I222" t="s">
        <v>25</v>
      </c>
      <c r="J222" t="s">
        <v>973</v>
      </c>
      <c r="K222" t="s">
        <v>27</v>
      </c>
      <c r="L222" t="s">
        <v>974</v>
      </c>
      <c r="M222" s="2">
        <v>1999</v>
      </c>
      <c r="N222">
        <v>1</v>
      </c>
      <c r="O222" s="2">
        <v>1999</v>
      </c>
      <c r="P222" t="s">
        <v>29</v>
      </c>
      <c r="Q222">
        <v>0</v>
      </c>
      <c r="R222" s="4">
        <f>IFERROR(Data_Analyst_Intern_Nikhil_Kumar_February2026[[#This Row],[Total]]/Data_Analyst_Intern_Nikhil_Kumar_February2026[[#This Row],[Discount(%)]],0)</f>
        <v>0</v>
      </c>
      <c r="S222" s="2">
        <f>Data_Analyst_Intern_Nikhil_Kumar_February2026[[#This Row],[Total]]-Data_Analyst_Intern_Nikhil_Kumar_February2026[[#This Row],[Discount Amount]]</f>
        <v>1999</v>
      </c>
      <c r="T222" t="s">
        <v>56</v>
      </c>
      <c r="U222" t="s">
        <v>45</v>
      </c>
      <c r="V222" t="s">
        <v>182</v>
      </c>
      <c r="W222" t="s">
        <v>183</v>
      </c>
      <c r="X222" t="s">
        <v>57</v>
      </c>
      <c r="Y222" s="1"/>
      <c r="Z222" s="1">
        <f>Data_Analyst_Intern_Nikhil_Kumar_February2026[[#This Row],[Del Date]]-Data_Analyst_Intern_Nikhil_Kumar_February2026[[#This Row],[Order Date]]</f>
        <v>-45625</v>
      </c>
      <c r="AA222" s="1" t="str" cm="1">
        <f t="array" ref="AA222">_xlfn.IFS(Data_Analyst_Intern_Nikhil_Kumar_February2026[[#This Row],[Del Days]]&lt;=7,"Fast",Data_Analyst_Intern_Nikhil_Kumar_February2026[[#This Row],[Del Days]]&lt;=15,"Standard",Data_Analyst_Intern_Nikhil_Kumar_February2026[[#This Row],[Del Days]]&gt;15,"Slow")</f>
        <v>Fast</v>
      </c>
      <c r="AB222" t="s">
        <v>121</v>
      </c>
      <c r="AC222">
        <f>IF(Data_Analyst_Intern_Nikhil_Kumar_February2026[[#This Row],[Status]]="RTO", 1,0)</f>
        <v>1</v>
      </c>
      <c r="AD222">
        <f>IF(Data_Analyst_Intern_Nikhil_Kumar_February2026[[#This Row],[Status]]="Delivered",1,0)</f>
        <v>0</v>
      </c>
      <c r="AE222" t="s">
        <v>35</v>
      </c>
      <c r="AF222">
        <f>IF(AND(Data_Analyst_Intern_Nikhil_Kumar_February2026[[#This Row],[Status]]="Delivered",Data_Analyst_Intern_Nikhil_Kumar_February2026[[#This Row],[Return?]]="Yes"),1,0)</f>
        <v>0</v>
      </c>
      <c r="AG222" t="s">
        <v>29</v>
      </c>
      <c r="AI222" t="s">
        <v>36</v>
      </c>
    </row>
    <row r="223" spans="1:35" x14ac:dyDescent="0.3">
      <c r="A223" t="s">
        <v>975</v>
      </c>
      <c r="B223" s="1">
        <v>45625</v>
      </c>
      <c r="C223" s="1" t="str">
        <f>TEXT(Data_Analyst_Intern_Nikhil_Kumar_February2026[[#This Row],[Order Date]], "mmmm")</f>
        <v>November</v>
      </c>
      <c r="D223" s="23">
        <f>WEEKNUM(Data_Analyst_Intern_Nikhil_Kumar_February2026[[#This Row],[Order Date]],2)</f>
        <v>48</v>
      </c>
      <c r="E223" s="23" t="str">
        <f>TEXT(Data_Analyst_Intern_Nikhil_Kumar_February2026[[#This Row],[Order Date]],"dddd")</f>
        <v>Friday</v>
      </c>
      <c r="F223" s="1">
        <v>45621</v>
      </c>
      <c r="G223" s="23" t="str">
        <f>TEXT(WEEKDAY(Data_Analyst_Intern_Nikhil_Kumar_February2026[[#This Row],[Order Date]],2), "dddd")</f>
        <v>Thursday</v>
      </c>
      <c r="H223" t="s">
        <v>976</v>
      </c>
      <c r="I223" t="s">
        <v>25</v>
      </c>
      <c r="J223" t="s">
        <v>977</v>
      </c>
      <c r="K223" t="s">
        <v>41</v>
      </c>
      <c r="L223" t="s">
        <v>978</v>
      </c>
      <c r="M223" s="2">
        <v>5499</v>
      </c>
      <c r="N223">
        <v>1</v>
      </c>
      <c r="O223" s="2">
        <v>5499</v>
      </c>
      <c r="P223" t="s">
        <v>703</v>
      </c>
      <c r="Q223">
        <v>15</v>
      </c>
      <c r="R223" s="4">
        <f>IFERROR(Data_Analyst_Intern_Nikhil_Kumar_February2026[[#This Row],[Total]]/Data_Analyst_Intern_Nikhil_Kumar_February2026[[#This Row],[Discount(%)]],0)</f>
        <v>366.6</v>
      </c>
      <c r="S223" s="2">
        <f>Data_Analyst_Intern_Nikhil_Kumar_February2026[[#This Row],[Total]]-Data_Analyst_Intern_Nikhil_Kumar_February2026[[#This Row],[Discount Amount]]</f>
        <v>5132.3999999999996</v>
      </c>
      <c r="T223" t="s">
        <v>44</v>
      </c>
      <c r="U223" t="s">
        <v>66</v>
      </c>
      <c r="V223" t="s">
        <v>188</v>
      </c>
      <c r="W223" t="s">
        <v>189</v>
      </c>
      <c r="X223" t="s">
        <v>57</v>
      </c>
      <c r="Y223" s="1">
        <v>45643</v>
      </c>
      <c r="Z223" s="3">
        <f>Data_Analyst_Intern_Nikhil_Kumar_February2026[[#This Row],[Del Date]]-Data_Analyst_Intern_Nikhil_Kumar_February2026[[#This Row],[Order Date]]</f>
        <v>18</v>
      </c>
      <c r="AA223" s="3" t="str" cm="1">
        <f t="array" ref="AA223">_xlfn.IFS(Data_Analyst_Intern_Nikhil_Kumar_February2026[[#This Row],[Del Days]]&lt;=7,"Fast",Data_Analyst_Intern_Nikhil_Kumar_February2026[[#This Row],[Del Days]]&lt;=15,"Standard",Data_Analyst_Intern_Nikhil_Kumar_February2026[[#This Row],[Del Days]]&gt;15,"Slow")</f>
        <v>Slow</v>
      </c>
      <c r="AB223" t="s">
        <v>34</v>
      </c>
      <c r="AC223">
        <f>IF(Data_Analyst_Intern_Nikhil_Kumar_February2026[[#This Row],[Status]]="RTO", 1,0)</f>
        <v>0</v>
      </c>
      <c r="AD223">
        <f>IF(Data_Analyst_Intern_Nikhil_Kumar_February2026[[#This Row],[Status]]="Delivered",1,0)</f>
        <v>1</v>
      </c>
      <c r="AE223" t="s">
        <v>47</v>
      </c>
      <c r="AF223">
        <f>IF(AND(Data_Analyst_Intern_Nikhil_Kumar_February2026[[#This Row],[Status]]="Delivered",Data_Analyst_Intern_Nikhil_Kumar_February2026[[#This Row],[Return?]]="Yes"),1,0)</f>
        <v>1</v>
      </c>
      <c r="AG223" t="s">
        <v>69</v>
      </c>
      <c r="AH223" s="1">
        <v>45672</v>
      </c>
      <c r="AI223" t="s">
        <v>49</v>
      </c>
    </row>
    <row r="224" spans="1:35" x14ac:dyDescent="0.3">
      <c r="A224" t="s">
        <v>979</v>
      </c>
      <c r="B224" s="1">
        <v>45626</v>
      </c>
      <c r="C224" s="1" t="str">
        <f>TEXT(Data_Analyst_Intern_Nikhil_Kumar_February2026[[#This Row],[Order Date]], "mmmm")</f>
        <v>November</v>
      </c>
      <c r="D224" s="23">
        <f>WEEKNUM(Data_Analyst_Intern_Nikhil_Kumar_February2026[[#This Row],[Order Date]],2)</f>
        <v>48</v>
      </c>
      <c r="E224" s="23" t="str">
        <f>TEXT(Data_Analyst_Intern_Nikhil_Kumar_February2026[[#This Row],[Order Date]],"dddd")</f>
        <v>Saturday</v>
      </c>
      <c r="F224" s="1">
        <v>45621</v>
      </c>
      <c r="G224" s="23" t="str">
        <f>TEXT(WEEKDAY(Data_Analyst_Intern_Nikhil_Kumar_February2026[[#This Row],[Order Date]],2), "dddd")</f>
        <v>Friday</v>
      </c>
      <c r="H224" t="s">
        <v>980</v>
      </c>
      <c r="I224" t="s">
        <v>39</v>
      </c>
      <c r="J224" t="s">
        <v>981</v>
      </c>
      <c r="K224" t="s">
        <v>54</v>
      </c>
      <c r="L224" t="s">
        <v>982</v>
      </c>
      <c r="M224" s="2">
        <v>2799</v>
      </c>
      <c r="N224">
        <v>1</v>
      </c>
      <c r="O224" s="2">
        <v>2799</v>
      </c>
      <c r="P224" t="s">
        <v>29</v>
      </c>
      <c r="Q224">
        <v>0</v>
      </c>
      <c r="R224" s="4">
        <f>IFERROR(Data_Analyst_Intern_Nikhil_Kumar_February2026[[#This Row],[Total]]/Data_Analyst_Intern_Nikhil_Kumar_February2026[[#This Row],[Discount(%)]],0)</f>
        <v>0</v>
      </c>
      <c r="S224" s="2">
        <f>Data_Analyst_Intern_Nikhil_Kumar_February2026[[#This Row],[Total]]-Data_Analyst_Intern_Nikhil_Kumar_February2026[[#This Row],[Discount Amount]]</f>
        <v>2799</v>
      </c>
      <c r="T224" t="s">
        <v>112</v>
      </c>
      <c r="U224" t="s">
        <v>31</v>
      </c>
      <c r="V224" t="s">
        <v>194</v>
      </c>
      <c r="W224" t="s">
        <v>183</v>
      </c>
      <c r="X224" t="s">
        <v>57</v>
      </c>
      <c r="Y224" s="1">
        <v>45641</v>
      </c>
      <c r="Z224" s="3">
        <f>Data_Analyst_Intern_Nikhil_Kumar_February2026[[#This Row],[Del Date]]-Data_Analyst_Intern_Nikhil_Kumar_February2026[[#This Row],[Order Date]]</f>
        <v>15</v>
      </c>
      <c r="AA224" s="3" t="str" cm="1">
        <f t="array" ref="AA224">_xlfn.IFS(Data_Analyst_Intern_Nikhil_Kumar_February2026[[#This Row],[Del Days]]&lt;=7,"Fast",Data_Analyst_Intern_Nikhil_Kumar_February2026[[#This Row],[Del Days]]&lt;=15,"Standard",Data_Analyst_Intern_Nikhil_Kumar_February2026[[#This Row],[Del Days]]&gt;15,"Slow")</f>
        <v>Standard</v>
      </c>
      <c r="AB224" t="s">
        <v>34</v>
      </c>
      <c r="AC224">
        <f>IF(Data_Analyst_Intern_Nikhil_Kumar_February2026[[#This Row],[Status]]="RTO", 1,0)</f>
        <v>0</v>
      </c>
      <c r="AD224">
        <f>IF(Data_Analyst_Intern_Nikhil_Kumar_February2026[[#This Row],[Status]]="Delivered",1,0)</f>
        <v>1</v>
      </c>
      <c r="AE224" t="s">
        <v>35</v>
      </c>
      <c r="AF224">
        <f>IF(AND(Data_Analyst_Intern_Nikhil_Kumar_February2026[[#This Row],[Status]]="Delivered",Data_Analyst_Intern_Nikhil_Kumar_February2026[[#This Row],[Return?]]="Yes"),1,0)</f>
        <v>0</v>
      </c>
      <c r="AG224" t="s">
        <v>29</v>
      </c>
      <c r="AI224" t="s">
        <v>36</v>
      </c>
    </row>
    <row r="225" spans="1:35" x14ac:dyDescent="0.3">
      <c r="A225" t="s">
        <v>983</v>
      </c>
      <c r="B225" s="1">
        <v>45626</v>
      </c>
      <c r="C225" s="1" t="str">
        <f>TEXT(Data_Analyst_Intern_Nikhil_Kumar_February2026[[#This Row],[Order Date]], "mmmm")</f>
        <v>November</v>
      </c>
      <c r="D225" s="23">
        <f>WEEKNUM(Data_Analyst_Intern_Nikhil_Kumar_February2026[[#This Row],[Order Date]],2)</f>
        <v>48</v>
      </c>
      <c r="E225" s="23" t="str">
        <f>TEXT(Data_Analyst_Intern_Nikhil_Kumar_February2026[[#This Row],[Order Date]],"dddd")</f>
        <v>Saturday</v>
      </c>
      <c r="F225" s="1">
        <v>45621</v>
      </c>
      <c r="G225" s="23" t="str">
        <f>TEXT(WEEKDAY(Data_Analyst_Intern_Nikhil_Kumar_February2026[[#This Row],[Order Date]],2), "dddd")</f>
        <v>Friday</v>
      </c>
      <c r="H225" t="s">
        <v>984</v>
      </c>
      <c r="I225" t="s">
        <v>25</v>
      </c>
      <c r="J225" t="s">
        <v>985</v>
      </c>
      <c r="K225" t="s">
        <v>62</v>
      </c>
      <c r="L225" t="s">
        <v>986</v>
      </c>
      <c r="M225" s="2">
        <v>5299</v>
      </c>
      <c r="N225">
        <v>1</v>
      </c>
      <c r="O225" s="2">
        <v>5299</v>
      </c>
      <c r="P225" t="s">
        <v>29</v>
      </c>
      <c r="Q225">
        <v>0</v>
      </c>
      <c r="R225" s="4">
        <f>IFERROR(Data_Analyst_Intern_Nikhil_Kumar_February2026[[#This Row],[Total]]/Data_Analyst_Intern_Nikhil_Kumar_February2026[[#This Row],[Discount(%)]],0)</f>
        <v>0</v>
      </c>
      <c r="S225" s="2">
        <f>Data_Analyst_Intern_Nikhil_Kumar_February2026[[#This Row],[Total]]-Data_Analyst_Intern_Nikhil_Kumar_February2026[[#This Row],[Discount Amount]]</f>
        <v>5299</v>
      </c>
      <c r="T225" t="s">
        <v>65</v>
      </c>
      <c r="U225" t="s">
        <v>45</v>
      </c>
      <c r="V225" t="s">
        <v>199</v>
      </c>
      <c r="W225" t="s">
        <v>58</v>
      </c>
      <c r="X225" t="s">
        <v>57</v>
      </c>
      <c r="Y225" s="1">
        <v>45644</v>
      </c>
      <c r="Z225" s="3">
        <f>Data_Analyst_Intern_Nikhil_Kumar_February2026[[#This Row],[Del Date]]-Data_Analyst_Intern_Nikhil_Kumar_February2026[[#This Row],[Order Date]]</f>
        <v>18</v>
      </c>
      <c r="AA225" s="3" t="str" cm="1">
        <f t="array" ref="AA225">_xlfn.IFS(Data_Analyst_Intern_Nikhil_Kumar_February2026[[#This Row],[Del Days]]&lt;=7,"Fast",Data_Analyst_Intern_Nikhil_Kumar_February2026[[#This Row],[Del Days]]&lt;=15,"Standard",Data_Analyst_Intern_Nikhil_Kumar_February2026[[#This Row],[Del Days]]&gt;15,"Slow")</f>
        <v>Slow</v>
      </c>
      <c r="AB225" t="s">
        <v>34</v>
      </c>
      <c r="AC225">
        <f>IF(Data_Analyst_Intern_Nikhil_Kumar_February2026[[#This Row],[Status]]="RTO", 1,0)</f>
        <v>0</v>
      </c>
      <c r="AD225">
        <f>IF(Data_Analyst_Intern_Nikhil_Kumar_February2026[[#This Row],[Status]]="Delivered",1,0)</f>
        <v>1</v>
      </c>
      <c r="AE225" t="s">
        <v>47</v>
      </c>
      <c r="AF225">
        <f>IF(AND(Data_Analyst_Intern_Nikhil_Kumar_February2026[[#This Row],[Status]]="Delivered",Data_Analyst_Intern_Nikhil_Kumar_February2026[[#This Row],[Return?]]="Yes"),1,0)</f>
        <v>1</v>
      </c>
      <c r="AG225" t="s">
        <v>139</v>
      </c>
      <c r="AH225" s="1">
        <v>45673</v>
      </c>
      <c r="AI225" t="s">
        <v>49</v>
      </c>
    </row>
    <row r="226" spans="1:35" x14ac:dyDescent="0.3">
      <c r="A226" t="s">
        <v>987</v>
      </c>
      <c r="B226" s="1">
        <v>45626</v>
      </c>
      <c r="C226" s="1" t="str">
        <f>TEXT(Data_Analyst_Intern_Nikhil_Kumar_February2026[[#This Row],[Order Date]], "mmmm")</f>
        <v>November</v>
      </c>
      <c r="D226" s="23">
        <f>WEEKNUM(Data_Analyst_Intern_Nikhil_Kumar_February2026[[#This Row],[Order Date]],2)</f>
        <v>48</v>
      </c>
      <c r="E226" s="23" t="str">
        <f>TEXT(Data_Analyst_Intern_Nikhil_Kumar_February2026[[#This Row],[Order Date]],"dddd")</f>
        <v>Saturday</v>
      </c>
      <c r="F226" s="1">
        <v>45621</v>
      </c>
      <c r="G226" s="23" t="str">
        <f>TEXT(WEEKDAY(Data_Analyst_Intern_Nikhil_Kumar_February2026[[#This Row],[Order Date]],2), "dddd")</f>
        <v>Friday</v>
      </c>
      <c r="H226" t="s">
        <v>988</v>
      </c>
      <c r="I226" t="s">
        <v>25</v>
      </c>
      <c r="J226" t="s">
        <v>989</v>
      </c>
      <c r="K226" t="s">
        <v>72</v>
      </c>
      <c r="L226" t="s">
        <v>990</v>
      </c>
      <c r="M226" s="2">
        <v>1099</v>
      </c>
      <c r="N226">
        <v>1</v>
      </c>
      <c r="O226" s="2">
        <v>1099</v>
      </c>
      <c r="P226" t="s">
        <v>29</v>
      </c>
      <c r="Q226">
        <v>0</v>
      </c>
      <c r="R226" s="4">
        <f>IFERROR(Data_Analyst_Intern_Nikhil_Kumar_February2026[[#This Row],[Total]]/Data_Analyst_Intern_Nikhil_Kumar_February2026[[#This Row],[Discount(%)]],0)</f>
        <v>0</v>
      </c>
      <c r="S226" s="2">
        <f>Data_Analyst_Intern_Nikhil_Kumar_February2026[[#This Row],[Total]]-Data_Analyst_Intern_Nikhil_Kumar_February2026[[#This Row],[Discount Amount]]</f>
        <v>1099</v>
      </c>
      <c r="T226" t="s">
        <v>30</v>
      </c>
      <c r="U226" t="s">
        <v>66</v>
      </c>
      <c r="V226" t="s">
        <v>204</v>
      </c>
      <c r="W226" t="s">
        <v>98</v>
      </c>
      <c r="X226" t="s">
        <v>32</v>
      </c>
      <c r="Y226" s="1">
        <v>45642</v>
      </c>
      <c r="Z226" s="3">
        <f>Data_Analyst_Intern_Nikhil_Kumar_February2026[[#This Row],[Del Date]]-Data_Analyst_Intern_Nikhil_Kumar_February2026[[#This Row],[Order Date]]</f>
        <v>16</v>
      </c>
      <c r="AA226" s="3" t="str" cm="1">
        <f t="array" ref="AA226">_xlfn.IFS(Data_Analyst_Intern_Nikhil_Kumar_February2026[[#This Row],[Del Days]]&lt;=7,"Fast",Data_Analyst_Intern_Nikhil_Kumar_February2026[[#This Row],[Del Days]]&lt;=15,"Standard",Data_Analyst_Intern_Nikhil_Kumar_February2026[[#This Row],[Del Days]]&gt;15,"Slow")</f>
        <v>Slow</v>
      </c>
      <c r="AB226" t="s">
        <v>34</v>
      </c>
      <c r="AC226">
        <f>IF(Data_Analyst_Intern_Nikhil_Kumar_February2026[[#This Row],[Status]]="RTO", 1,0)</f>
        <v>0</v>
      </c>
      <c r="AD226">
        <f>IF(Data_Analyst_Intern_Nikhil_Kumar_February2026[[#This Row],[Status]]="Delivered",1,0)</f>
        <v>1</v>
      </c>
      <c r="AE226" t="s">
        <v>47</v>
      </c>
      <c r="AF226">
        <f>IF(AND(Data_Analyst_Intern_Nikhil_Kumar_February2026[[#This Row],[Status]]="Delivered",Data_Analyst_Intern_Nikhil_Kumar_February2026[[#This Row],[Return?]]="Yes"),1,0)</f>
        <v>1</v>
      </c>
      <c r="AG226" t="s">
        <v>48</v>
      </c>
      <c r="AH226" s="1">
        <v>45671</v>
      </c>
      <c r="AI226" t="s">
        <v>49</v>
      </c>
    </row>
    <row r="227" spans="1:35" x14ac:dyDescent="0.3">
      <c r="A227" t="s">
        <v>991</v>
      </c>
      <c r="B227" s="1">
        <v>45627</v>
      </c>
      <c r="C227" s="1" t="str">
        <f>TEXT(Data_Analyst_Intern_Nikhil_Kumar_February2026[[#This Row],[Order Date]], "mmmm")</f>
        <v>December</v>
      </c>
      <c r="D227" s="23">
        <f>WEEKNUM(Data_Analyst_Intern_Nikhil_Kumar_February2026[[#This Row],[Order Date]],2)</f>
        <v>48</v>
      </c>
      <c r="E227" s="23" t="str">
        <f>TEXT(Data_Analyst_Intern_Nikhil_Kumar_February2026[[#This Row],[Order Date]],"dddd")</f>
        <v>Sunday</v>
      </c>
      <c r="F227" s="1">
        <v>45621</v>
      </c>
      <c r="G227" s="23" t="str">
        <f>TEXT(WEEKDAY(Data_Analyst_Intern_Nikhil_Kumar_February2026[[#This Row],[Order Date]],2), "dddd")</f>
        <v>Saturday</v>
      </c>
      <c r="H227" t="s">
        <v>992</v>
      </c>
      <c r="I227" t="s">
        <v>25</v>
      </c>
      <c r="J227" t="s">
        <v>993</v>
      </c>
      <c r="K227" t="s">
        <v>27</v>
      </c>
      <c r="L227" t="s">
        <v>994</v>
      </c>
      <c r="M227" s="2">
        <v>2499</v>
      </c>
      <c r="N227">
        <v>1</v>
      </c>
      <c r="O227" s="2">
        <v>2499</v>
      </c>
      <c r="P227" t="s">
        <v>995</v>
      </c>
      <c r="Q227">
        <v>20</v>
      </c>
      <c r="R227" s="4">
        <f>IFERROR(Data_Analyst_Intern_Nikhil_Kumar_February2026[[#This Row],[Total]]/Data_Analyst_Intern_Nikhil_Kumar_February2026[[#This Row],[Discount(%)]],0)</f>
        <v>124.95</v>
      </c>
      <c r="S227" s="2">
        <f>Data_Analyst_Intern_Nikhil_Kumar_February2026[[#This Row],[Total]]-Data_Analyst_Intern_Nikhil_Kumar_February2026[[#This Row],[Discount Amount]]</f>
        <v>2374.0500000000002</v>
      </c>
      <c r="T227" t="s">
        <v>44</v>
      </c>
      <c r="U227" t="s">
        <v>31</v>
      </c>
      <c r="V227" t="s">
        <v>32</v>
      </c>
      <c r="W227" t="s">
        <v>33</v>
      </c>
      <c r="X227" t="s">
        <v>32</v>
      </c>
      <c r="Y227" s="1">
        <v>45632</v>
      </c>
      <c r="Z227" s="3">
        <f>Data_Analyst_Intern_Nikhil_Kumar_February2026[[#This Row],[Del Date]]-Data_Analyst_Intern_Nikhil_Kumar_February2026[[#This Row],[Order Date]]</f>
        <v>5</v>
      </c>
      <c r="AA227" s="3" t="str" cm="1">
        <f t="array" ref="AA227">_xlfn.IFS(Data_Analyst_Intern_Nikhil_Kumar_February2026[[#This Row],[Del Days]]&lt;=7,"Fast",Data_Analyst_Intern_Nikhil_Kumar_February2026[[#This Row],[Del Days]]&lt;=15,"Standard",Data_Analyst_Intern_Nikhil_Kumar_February2026[[#This Row],[Del Days]]&gt;15,"Slow")</f>
        <v>Fast</v>
      </c>
      <c r="AB227" t="s">
        <v>34</v>
      </c>
      <c r="AC227">
        <f>IF(Data_Analyst_Intern_Nikhil_Kumar_February2026[[#This Row],[Status]]="RTO", 1,0)</f>
        <v>0</v>
      </c>
      <c r="AD227">
        <f>IF(Data_Analyst_Intern_Nikhil_Kumar_February2026[[#This Row],[Status]]="Delivered",1,0)</f>
        <v>1</v>
      </c>
      <c r="AE227" t="s">
        <v>35</v>
      </c>
      <c r="AF227">
        <f>IF(AND(Data_Analyst_Intern_Nikhil_Kumar_February2026[[#This Row],[Status]]="Delivered",Data_Analyst_Intern_Nikhil_Kumar_February2026[[#This Row],[Return?]]="Yes"),1,0)</f>
        <v>0</v>
      </c>
      <c r="AG227" t="s">
        <v>29</v>
      </c>
      <c r="AI227" t="s">
        <v>36</v>
      </c>
    </row>
    <row r="228" spans="1:35" x14ac:dyDescent="0.3">
      <c r="A228" t="s">
        <v>996</v>
      </c>
      <c r="B228" s="1">
        <v>45627</v>
      </c>
      <c r="C228" s="1" t="str">
        <f>TEXT(Data_Analyst_Intern_Nikhil_Kumar_February2026[[#This Row],[Order Date]], "mmmm")</f>
        <v>December</v>
      </c>
      <c r="D228" s="23">
        <f>WEEKNUM(Data_Analyst_Intern_Nikhil_Kumar_February2026[[#This Row],[Order Date]],2)</f>
        <v>48</v>
      </c>
      <c r="E228" s="23" t="str">
        <f>TEXT(Data_Analyst_Intern_Nikhil_Kumar_February2026[[#This Row],[Order Date]],"dddd")</f>
        <v>Sunday</v>
      </c>
      <c r="F228" s="1">
        <v>45621</v>
      </c>
      <c r="G228" s="23" t="str">
        <f>TEXT(WEEKDAY(Data_Analyst_Intern_Nikhil_Kumar_February2026[[#This Row],[Order Date]],2), "dddd")</f>
        <v>Saturday</v>
      </c>
      <c r="H228" t="s">
        <v>997</v>
      </c>
      <c r="I228" t="s">
        <v>25</v>
      </c>
      <c r="J228" t="s">
        <v>998</v>
      </c>
      <c r="K228" t="s">
        <v>62</v>
      </c>
      <c r="L228" t="s">
        <v>999</v>
      </c>
      <c r="M228" s="2">
        <v>6499</v>
      </c>
      <c r="N228">
        <v>1</v>
      </c>
      <c r="O228" s="2">
        <v>6499</v>
      </c>
      <c r="P228" t="s">
        <v>995</v>
      </c>
      <c r="Q228">
        <v>20</v>
      </c>
      <c r="R228" s="4">
        <f>IFERROR(Data_Analyst_Intern_Nikhil_Kumar_February2026[[#This Row],[Total]]/Data_Analyst_Intern_Nikhil_Kumar_February2026[[#This Row],[Discount(%)]],0)</f>
        <v>324.95</v>
      </c>
      <c r="S228" s="2">
        <f>Data_Analyst_Intern_Nikhil_Kumar_February2026[[#This Row],[Total]]-Data_Analyst_Intern_Nikhil_Kumar_February2026[[#This Row],[Discount Amount]]</f>
        <v>6174.05</v>
      </c>
      <c r="T228" t="s">
        <v>56</v>
      </c>
      <c r="U228" t="s">
        <v>45</v>
      </c>
      <c r="V228" t="s">
        <v>46</v>
      </c>
      <c r="W228" t="s">
        <v>46</v>
      </c>
      <c r="X228" t="s">
        <v>46</v>
      </c>
      <c r="Y228" s="1">
        <v>45634</v>
      </c>
      <c r="Z228" s="3">
        <f>Data_Analyst_Intern_Nikhil_Kumar_February2026[[#This Row],[Del Date]]-Data_Analyst_Intern_Nikhil_Kumar_February2026[[#This Row],[Order Date]]</f>
        <v>7</v>
      </c>
      <c r="AA228" s="3" t="str" cm="1">
        <f t="array" ref="AA228">_xlfn.IFS(Data_Analyst_Intern_Nikhil_Kumar_February2026[[#This Row],[Del Days]]&lt;=7,"Fast",Data_Analyst_Intern_Nikhil_Kumar_February2026[[#This Row],[Del Days]]&lt;=15,"Standard",Data_Analyst_Intern_Nikhil_Kumar_February2026[[#This Row],[Del Days]]&gt;15,"Slow")</f>
        <v>Fast</v>
      </c>
      <c r="AB228" t="s">
        <v>34</v>
      </c>
      <c r="AC228">
        <f>IF(Data_Analyst_Intern_Nikhil_Kumar_February2026[[#This Row],[Status]]="RTO", 1,0)</f>
        <v>0</v>
      </c>
      <c r="AD228">
        <f>IF(Data_Analyst_Intern_Nikhil_Kumar_February2026[[#This Row],[Status]]="Delivered",1,0)</f>
        <v>1</v>
      </c>
      <c r="AE228" t="s">
        <v>47</v>
      </c>
      <c r="AF228">
        <f>IF(AND(Data_Analyst_Intern_Nikhil_Kumar_February2026[[#This Row],[Status]]="Delivered",Data_Analyst_Intern_Nikhil_Kumar_February2026[[#This Row],[Return?]]="Yes"),1,0)</f>
        <v>1</v>
      </c>
      <c r="AG228" t="s">
        <v>80</v>
      </c>
      <c r="AH228" s="1">
        <v>45654</v>
      </c>
      <c r="AI228" t="s">
        <v>106</v>
      </c>
    </row>
    <row r="229" spans="1:35" x14ac:dyDescent="0.3">
      <c r="A229" t="s">
        <v>1000</v>
      </c>
      <c r="B229" s="1">
        <v>45627</v>
      </c>
      <c r="C229" s="1" t="str">
        <f>TEXT(Data_Analyst_Intern_Nikhil_Kumar_February2026[[#This Row],[Order Date]], "mmmm")</f>
        <v>December</v>
      </c>
      <c r="D229" s="23">
        <f>WEEKNUM(Data_Analyst_Intern_Nikhil_Kumar_February2026[[#This Row],[Order Date]],2)</f>
        <v>48</v>
      </c>
      <c r="E229" s="23" t="str">
        <f>TEXT(Data_Analyst_Intern_Nikhil_Kumar_February2026[[#This Row],[Order Date]],"dddd")</f>
        <v>Sunday</v>
      </c>
      <c r="F229" s="1">
        <v>45621</v>
      </c>
      <c r="G229" s="23" t="str">
        <f>TEXT(WEEKDAY(Data_Analyst_Intern_Nikhil_Kumar_February2026[[#This Row],[Order Date]],2), "dddd")</f>
        <v>Saturday</v>
      </c>
      <c r="H229" t="s">
        <v>1001</v>
      </c>
      <c r="I229" t="s">
        <v>39</v>
      </c>
      <c r="J229" t="s">
        <v>1002</v>
      </c>
      <c r="K229" t="s">
        <v>72</v>
      </c>
      <c r="L229" t="s">
        <v>1003</v>
      </c>
      <c r="M229" s="2">
        <v>1499</v>
      </c>
      <c r="N229">
        <v>1</v>
      </c>
      <c r="O229" s="2">
        <v>1499</v>
      </c>
      <c r="P229" t="s">
        <v>29</v>
      </c>
      <c r="Q229">
        <v>0</v>
      </c>
      <c r="R229" s="4">
        <f>IFERROR(Data_Analyst_Intern_Nikhil_Kumar_February2026[[#This Row],[Total]]/Data_Analyst_Intern_Nikhil_Kumar_February2026[[#This Row],[Discount(%)]],0)</f>
        <v>0</v>
      </c>
      <c r="S229" s="2">
        <f>Data_Analyst_Intern_Nikhil_Kumar_February2026[[#This Row],[Total]]-Data_Analyst_Intern_Nikhil_Kumar_February2026[[#This Row],[Discount Amount]]</f>
        <v>1499</v>
      </c>
      <c r="T229" t="s">
        <v>30</v>
      </c>
      <c r="U229" t="s">
        <v>66</v>
      </c>
      <c r="V229" t="s">
        <v>119</v>
      </c>
      <c r="W229" t="s">
        <v>120</v>
      </c>
      <c r="X229" t="s">
        <v>46</v>
      </c>
      <c r="Y229" s="1">
        <v>45633</v>
      </c>
      <c r="Z229" s="3">
        <f>Data_Analyst_Intern_Nikhil_Kumar_February2026[[#This Row],[Del Date]]-Data_Analyst_Intern_Nikhil_Kumar_February2026[[#This Row],[Order Date]]</f>
        <v>6</v>
      </c>
      <c r="AA229" s="3" t="str" cm="1">
        <f t="array" ref="AA229">_xlfn.IFS(Data_Analyst_Intern_Nikhil_Kumar_February2026[[#This Row],[Del Days]]&lt;=7,"Fast",Data_Analyst_Intern_Nikhil_Kumar_February2026[[#This Row],[Del Days]]&lt;=15,"Standard",Data_Analyst_Intern_Nikhil_Kumar_February2026[[#This Row],[Del Days]]&gt;15,"Slow")</f>
        <v>Fast</v>
      </c>
      <c r="AB229" t="s">
        <v>34</v>
      </c>
      <c r="AC229">
        <f>IF(Data_Analyst_Intern_Nikhil_Kumar_February2026[[#This Row],[Status]]="RTO", 1,0)</f>
        <v>0</v>
      </c>
      <c r="AD229">
        <f>IF(Data_Analyst_Intern_Nikhil_Kumar_February2026[[#This Row],[Status]]="Delivered",1,0)</f>
        <v>1</v>
      </c>
      <c r="AE229" t="s">
        <v>35</v>
      </c>
      <c r="AF229">
        <f>IF(AND(Data_Analyst_Intern_Nikhil_Kumar_February2026[[#This Row],[Status]]="Delivered",Data_Analyst_Intern_Nikhil_Kumar_February2026[[#This Row],[Return?]]="Yes"),1,0)</f>
        <v>0</v>
      </c>
      <c r="AG229" t="s">
        <v>29</v>
      </c>
      <c r="AI229" t="s">
        <v>36</v>
      </c>
    </row>
    <row r="230" spans="1:35" x14ac:dyDescent="0.3">
      <c r="A230" t="s">
        <v>1004</v>
      </c>
      <c r="B230" s="1">
        <v>45627</v>
      </c>
      <c r="C230" s="1" t="str">
        <f>TEXT(Data_Analyst_Intern_Nikhil_Kumar_February2026[[#This Row],[Order Date]], "mmmm")</f>
        <v>December</v>
      </c>
      <c r="D230" s="23">
        <f>WEEKNUM(Data_Analyst_Intern_Nikhil_Kumar_February2026[[#This Row],[Order Date]],2)</f>
        <v>48</v>
      </c>
      <c r="E230" s="23" t="str">
        <f>TEXT(Data_Analyst_Intern_Nikhil_Kumar_February2026[[#This Row],[Order Date]],"dddd")</f>
        <v>Sunday</v>
      </c>
      <c r="F230" s="1">
        <v>45621</v>
      </c>
      <c r="G230" s="23" t="str">
        <f>TEXT(WEEKDAY(Data_Analyst_Intern_Nikhil_Kumar_February2026[[#This Row],[Order Date]],2), "dddd")</f>
        <v>Saturday</v>
      </c>
      <c r="H230" t="s">
        <v>1005</v>
      </c>
      <c r="I230" t="s">
        <v>25</v>
      </c>
      <c r="J230" t="s">
        <v>1006</v>
      </c>
      <c r="K230" t="s">
        <v>41</v>
      </c>
      <c r="L230" t="s">
        <v>1007</v>
      </c>
      <c r="M230" s="2">
        <v>2899</v>
      </c>
      <c r="N230">
        <v>1</v>
      </c>
      <c r="O230" s="2">
        <v>2899</v>
      </c>
      <c r="P230" t="s">
        <v>995</v>
      </c>
      <c r="Q230">
        <v>20</v>
      </c>
      <c r="R230" s="4">
        <f>IFERROR(Data_Analyst_Intern_Nikhil_Kumar_February2026[[#This Row],[Total]]/Data_Analyst_Intern_Nikhil_Kumar_February2026[[#This Row],[Discount(%)]],0)</f>
        <v>144.94999999999999</v>
      </c>
      <c r="S230" s="2">
        <f>Data_Analyst_Intern_Nikhil_Kumar_February2026[[#This Row],[Total]]-Data_Analyst_Intern_Nikhil_Kumar_February2026[[#This Row],[Discount Amount]]</f>
        <v>2754.05</v>
      </c>
      <c r="T230" t="s">
        <v>65</v>
      </c>
      <c r="U230" t="s">
        <v>31</v>
      </c>
      <c r="V230" t="s">
        <v>563</v>
      </c>
      <c r="W230" t="s">
        <v>120</v>
      </c>
      <c r="X230" t="s">
        <v>46</v>
      </c>
      <c r="Y230" s="1">
        <v>45635</v>
      </c>
      <c r="Z230" s="3">
        <f>Data_Analyst_Intern_Nikhil_Kumar_February2026[[#This Row],[Del Date]]-Data_Analyst_Intern_Nikhil_Kumar_February2026[[#This Row],[Order Date]]</f>
        <v>8</v>
      </c>
      <c r="AA230" s="3" t="str" cm="1">
        <f t="array" ref="AA230">_xlfn.IFS(Data_Analyst_Intern_Nikhil_Kumar_February2026[[#This Row],[Del Days]]&lt;=7,"Fast",Data_Analyst_Intern_Nikhil_Kumar_February2026[[#This Row],[Del Days]]&lt;=15,"Standard",Data_Analyst_Intern_Nikhil_Kumar_February2026[[#This Row],[Del Days]]&gt;15,"Slow")</f>
        <v>Standard</v>
      </c>
      <c r="AB230" t="s">
        <v>34</v>
      </c>
      <c r="AC230">
        <f>IF(Data_Analyst_Intern_Nikhil_Kumar_February2026[[#This Row],[Status]]="RTO", 1,0)</f>
        <v>0</v>
      </c>
      <c r="AD230">
        <f>IF(Data_Analyst_Intern_Nikhil_Kumar_February2026[[#This Row],[Status]]="Delivered",1,0)</f>
        <v>1</v>
      </c>
      <c r="AE230" t="s">
        <v>47</v>
      </c>
      <c r="AF230">
        <f>IF(AND(Data_Analyst_Intern_Nikhil_Kumar_February2026[[#This Row],[Status]]="Delivered",Data_Analyst_Intern_Nikhil_Kumar_February2026[[#This Row],[Return?]]="Yes"),1,0)</f>
        <v>1</v>
      </c>
      <c r="AG230" t="s">
        <v>48</v>
      </c>
      <c r="AH230" s="1">
        <v>45656</v>
      </c>
      <c r="AI230" t="s">
        <v>49</v>
      </c>
    </row>
    <row r="231" spans="1:35" x14ac:dyDescent="0.3">
      <c r="A231" t="s">
        <v>1008</v>
      </c>
      <c r="B231" s="1">
        <v>45628</v>
      </c>
      <c r="C231" s="1" t="str">
        <f>TEXT(Data_Analyst_Intern_Nikhil_Kumar_February2026[[#This Row],[Order Date]], "mmmm")</f>
        <v>December</v>
      </c>
      <c r="D231" s="23">
        <f>WEEKNUM(Data_Analyst_Intern_Nikhil_Kumar_February2026[[#This Row],[Order Date]],2)</f>
        <v>49</v>
      </c>
      <c r="E231" s="23" t="str">
        <f>TEXT(Data_Analyst_Intern_Nikhil_Kumar_February2026[[#This Row],[Order Date]],"dddd")</f>
        <v>Monday</v>
      </c>
      <c r="F231" s="1">
        <v>45628</v>
      </c>
      <c r="G231" s="23" t="str">
        <f>TEXT(WEEKDAY(Data_Analyst_Intern_Nikhil_Kumar_February2026[[#This Row],[Order Date]],2), "dddd")</f>
        <v>Sunday</v>
      </c>
      <c r="H231" t="s">
        <v>1009</v>
      </c>
      <c r="I231" t="s">
        <v>25</v>
      </c>
      <c r="J231" t="s">
        <v>1010</v>
      </c>
      <c r="K231" t="s">
        <v>27</v>
      </c>
      <c r="L231" t="s">
        <v>1011</v>
      </c>
      <c r="M231" s="2">
        <v>1599</v>
      </c>
      <c r="N231">
        <v>2</v>
      </c>
      <c r="O231" s="2">
        <v>3198</v>
      </c>
      <c r="P231" t="s">
        <v>29</v>
      </c>
      <c r="Q231">
        <v>0</v>
      </c>
      <c r="R231" s="4">
        <f>IFERROR(Data_Analyst_Intern_Nikhil_Kumar_February2026[[#This Row],[Total]]/Data_Analyst_Intern_Nikhil_Kumar_February2026[[#This Row],[Discount(%)]],0)</f>
        <v>0</v>
      </c>
      <c r="S231" s="2">
        <f>Data_Analyst_Intern_Nikhil_Kumar_February2026[[#This Row],[Total]]-Data_Analyst_Intern_Nikhil_Kumar_February2026[[#This Row],[Discount Amount]]</f>
        <v>3198</v>
      </c>
      <c r="T231" t="s">
        <v>44</v>
      </c>
      <c r="U231" t="s">
        <v>45</v>
      </c>
      <c r="V231" t="s">
        <v>1012</v>
      </c>
      <c r="W231" t="s">
        <v>1013</v>
      </c>
      <c r="X231" t="s">
        <v>46</v>
      </c>
      <c r="Y231" s="1">
        <v>45635</v>
      </c>
      <c r="Z231" s="3">
        <f>Data_Analyst_Intern_Nikhil_Kumar_February2026[[#This Row],[Del Date]]-Data_Analyst_Intern_Nikhil_Kumar_February2026[[#This Row],[Order Date]]</f>
        <v>7</v>
      </c>
      <c r="AA231" s="3" t="str" cm="1">
        <f t="array" ref="AA231">_xlfn.IFS(Data_Analyst_Intern_Nikhil_Kumar_February2026[[#This Row],[Del Days]]&lt;=7,"Fast",Data_Analyst_Intern_Nikhil_Kumar_February2026[[#This Row],[Del Days]]&lt;=15,"Standard",Data_Analyst_Intern_Nikhil_Kumar_February2026[[#This Row],[Del Days]]&gt;15,"Slow")</f>
        <v>Fast</v>
      </c>
      <c r="AB231" t="s">
        <v>34</v>
      </c>
      <c r="AC231">
        <f>IF(Data_Analyst_Intern_Nikhil_Kumar_February2026[[#This Row],[Status]]="RTO", 1,0)</f>
        <v>0</v>
      </c>
      <c r="AD231">
        <f>IF(Data_Analyst_Intern_Nikhil_Kumar_February2026[[#This Row],[Status]]="Delivered",1,0)</f>
        <v>1</v>
      </c>
      <c r="AE231" t="s">
        <v>35</v>
      </c>
      <c r="AF231">
        <f>IF(AND(Data_Analyst_Intern_Nikhil_Kumar_February2026[[#This Row],[Status]]="Delivered",Data_Analyst_Intern_Nikhil_Kumar_February2026[[#This Row],[Return?]]="Yes"),1,0)</f>
        <v>0</v>
      </c>
      <c r="AG231" t="s">
        <v>29</v>
      </c>
      <c r="AI231" t="s">
        <v>36</v>
      </c>
    </row>
    <row r="232" spans="1:35" x14ac:dyDescent="0.3">
      <c r="A232" t="s">
        <v>1014</v>
      </c>
      <c r="B232" s="1">
        <v>45628</v>
      </c>
      <c r="C232" s="1" t="str">
        <f>TEXT(Data_Analyst_Intern_Nikhil_Kumar_February2026[[#This Row],[Order Date]], "mmmm")</f>
        <v>December</v>
      </c>
      <c r="D232" s="23">
        <f>WEEKNUM(Data_Analyst_Intern_Nikhil_Kumar_February2026[[#This Row],[Order Date]],2)</f>
        <v>49</v>
      </c>
      <c r="E232" s="23" t="str">
        <f>TEXT(Data_Analyst_Intern_Nikhil_Kumar_February2026[[#This Row],[Order Date]],"dddd")</f>
        <v>Monday</v>
      </c>
      <c r="F232" s="1">
        <v>45628</v>
      </c>
      <c r="G232" s="23" t="str">
        <f>TEXT(WEEKDAY(Data_Analyst_Intern_Nikhil_Kumar_February2026[[#This Row],[Order Date]],2), "dddd")</f>
        <v>Sunday</v>
      </c>
      <c r="H232" t="s">
        <v>1015</v>
      </c>
      <c r="I232" t="s">
        <v>25</v>
      </c>
      <c r="J232" t="s">
        <v>1016</v>
      </c>
      <c r="K232" t="s">
        <v>54</v>
      </c>
      <c r="L232" t="s">
        <v>1017</v>
      </c>
      <c r="M232" s="2">
        <v>1799</v>
      </c>
      <c r="N232">
        <v>1</v>
      </c>
      <c r="O232" s="2">
        <v>1799</v>
      </c>
      <c r="P232" t="s">
        <v>995</v>
      </c>
      <c r="Q232">
        <v>20</v>
      </c>
      <c r="R232" s="4">
        <f>IFERROR(Data_Analyst_Intern_Nikhil_Kumar_February2026[[#This Row],[Total]]/Data_Analyst_Intern_Nikhil_Kumar_February2026[[#This Row],[Discount(%)]],0)</f>
        <v>89.95</v>
      </c>
      <c r="S232" s="2">
        <f>Data_Analyst_Intern_Nikhil_Kumar_February2026[[#This Row],[Total]]-Data_Analyst_Intern_Nikhil_Kumar_February2026[[#This Row],[Discount Amount]]</f>
        <v>1709.05</v>
      </c>
      <c r="T232" t="s">
        <v>112</v>
      </c>
      <c r="U232" t="s">
        <v>66</v>
      </c>
      <c r="V232" t="s">
        <v>1018</v>
      </c>
      <c r="W232" t="s">
        <v>1019</v>
      </c>
      <c r="X232" t="s">
        <v>46</v>
      </c>
      <c r="Y232" s="1">
        <v>45636</v>
      </c>
      <c r="Z232" s="3">
        <f>Data_Analyst_Intern_Nikhil_Kumar_February2026[[#This Row],[Del Date]]-Data_Analyst_Intern_Nikhil_Kumar_February2026[[#This Row],[Order Date]]</f>
        <v>8</v>
      </c>
      <c r="AA232" s="3" t="str" cm="1">
        <f t="array" ref="AA232">_xlfn.IFS(Data_Analyst_Intern_Nikhil_Kumar_February2026[[#This Row],[Del Days]]&lt;=7,"Fast",Data_Analyst_Intern_Nikhil_Kumar_February2026[[#This Row],[Del Days]]&lt;=15,"Standard",Data_Analyst_Intern_Nikhil_Kumar_February2026[[#This Row],[Del Days]]&gt;15,"Slow")</f>
        <v>Standard</v>
      </c>
      <c r="AB232" t="s">
        <v>34</v>
      </c>
      <c r="AC232">
        <f>IF(Data_Analyst_Intern_Nikhil_Kumar_February2026[[#This Row],[Status]]="RTO", 1,0)</f>
        <v>0</v>
      </c>
      <c r="AD232">
        <f>IF(Data_Analyst_Intern_Nikhil_Kumar_February2026[[#This Row],[Status]]="Delivered",1,0)</f>
        <v>1</v>
      </c>
      <c r="AE232" t="s">
        <v>35</v>
      </c>
      <c r="AF232">
        <f>IF(AND(Data_Analyst_Intern_Nikhil_Kumar_February2026[[#This Row],[Status]]="Delivered",Data_Analyst_Intern_Nikhil_Kumar_February2026[[#This Row],[Return?]]="Yes"),1,0)</f>
        <v>0</v>
      </c>
      <c r="AG232" t="s">
        <v>29</v>
      </c>
      <c r="AI232" t="s">
        <v>36</v>
      </c>
    </row>
    <row r="233" spans="1:35" x14ac:dyDescent="0.3">
      <c r="A233" t="s">
        <v>1020</v>
      </c>
      <c r="B233" s="1">
        <v>45628</v>
      </c>
      <c r="C233" s="1" t="str">
        <f>TEXT(Data_Analyst_Intern_Nikhil_Kumar_February2026[[#This Row],[Order Date]], "mmmm")</f>
        <v>December</v>
      </c>
      <c r="D233" s="23">
        <f>WEEKNUM(Data_Analyst_Intern_Nikhil_Kumar_February2026[[#This Row],[Order Date]],2)</f>
        <v>49</v>
      </c>
      <c r="E233" s="23" t="str">
        <f>TEXT(Data_Analyst_Intern_Nikhil_Kumar_February2026[[#This Row],[Order Date]],"dddd")</f>
        <v>Monday</v>
      </c>
      <c r="F233" s="1">
        <v>45628</v>
      </c>
      <c r="G233" s="23" t="str">
        <f>TEXT(WEEKDAY(Data_Analyst_Intern_Nikhil_Kumar_February2026[[#This Row],[Order Date]],2), "dddd")</f>
        <v>Sunday</v>
      </c>
      <c r="H233" t="s">
        <v>1021</v>
      </c>
      <c r="I233" t="s">
        <v>25</v>
      </c>
      <c r="J233" t="s">
        <v>444</v>
      </c>
      <c r="K233" t="s">
        <v>62</v>
      </c>
      <c r="L233" t="s">
        <v>445</v>
      </c>
      <c r="M233" s="2">
        <v>3299</v>
      </c>
      <c r="N233">
        <v>1</v>
      </c>
      <c r="O233" s="2">
        <v>3299</v>
      </c>
      <c r="P233" t="s">
        <v>29</v>
      </c>
      <c r="Q233">
        <v>0</v>
      </c>
      <c r="R233" s="4">
        <f>IFERROR(Data_Analyst_Intern_Nikhil_Kumar_February2026[[#This Row],[Total]]/Data_Analyst_Intern_Nikhil_Kumar_February2026[[#This Row],[Discount(%)]],0)</f>
        <v>0</v>
      </c>
      <c r="S233" s="2">
        <f>Data_Analyst_Intern_Nikhil_Kumar_February2026[[#This Row],[Total]]-Data_Analyst_Intern_Nikhil_Kumar_February2026[[#This Row],[Discount Amount]]</f>
        <v>3299</v>
      </c>
      <c r="T233" t="s">
        <v>30</v>
      </c>
      <c r="U233" t="s">
        <v>31</v>
      </c>
      <c r="V233" t="s">
        <v>1022</v>
      </c>
      <c r="W233" t="s">
        <v>1023</v>
      </c>
      <c r="X233" t="s">
        <v>46</v>
      </c>
      <c r="Y233" s="1">
        <v>45637</v>
      </c>
      <c r="Z233" s="3">
        <f>Data_Analyst_Intern_Nikhil_Kumar_February2026[[#This Row],[Del Date]]-Data_Analyst_Intern_Nikhil_Kumar_February2026[[#This Row],[Order Date]]</f>
        <v>9</v>
      </c>
      <c r="AA233" s="3" t="str" cm="1">
        <f t="array" ref="AA233">_xlfn.IFS(Data_Analyst_Intern_Nikhil_Kumar_February2026[[#This Row],[Del Days]]&lt;=7,"Fast",Data_Analyst_Intern_Nikhil_Kumar_February2026[[#This Row],[Del Days]]&lt;=15,"Standard",Data_Analyst_Intern_Nikhil_Kumar_February2026[[#This Row],[Del Days]]&gt;15,"Slow")</f>
        <v>Standard</v>
      </c>
      <c r="AB233" t="s">
        <v>34</v>
      </c>
      <c r="AC233">
        <f>IF(Data_Analyst_Intern_Nikhil_Kumar_February2026[[#This Row],[Status]]="RTO", 1,0)</f>
        <v>0</v>
      </c>
      <c r="AD233">
        <f>IF(Data_Analyst_Intern_Nikhil_Kumar_February2026[[#This Row],[Status]]="Delivered",1,0)</f>
        <v>1</v>
      </c>
      <c r="AE233" t="s">
        <v>47</v>
      </c>
      <c r="AF233">
        <f>IF(AND(Data_Analyst_Intern_Nikhil_Kumar_February2026[[#This Row],[Status]]="Delivered",Data_Analyst_Intern_Nikhil_Kumar_February2026[[#This Row],[Return?]]="Yes"),1,0)</f>
        <v>1</v>
      </c>
      <c r="AG233" t="s">
        <v>105</v>
      </c>
      <c r="AH233" s="1">
        <v>45659</v>
      </c>
      <c r="AI233" t="s">
        <v>106</v>
      </c>
    </row>
    <row r="234" spans="1:35" x14ac:dyDescent="0.3">
      <c r="A234" t="s">
        <v>1024</v>
      </c>
      <c r="B234" s="1">
        <v>45628</v>
      </c>
      <c r="C234" s="1" t="str">
        <f>TEXT(Data_Analyst_Intern_Nikhil_Kumar_February2026[[#This Row],[Order Date]], "mmmm")</f>
        <v>December</v>
      </c>
      <c r="D234" s="23">
        <f>WEEKNUM(Data_Analyst_Intern_Nikhil_Kumar_February2026[[#This Row],[Order Date]],2)</f>
        <v>49</v>
      </c>
      <c r="E234" s="23" t="str">
        <f>TEXT(Data_Analyst_Intern_Nikhil_Kumar_February2026[[#This Row],[Order Date]],"dddd")</f>
        <v>Monday</v>
      </c>
      <c r="F234" s="1">
        <v>45628</v>
      </c>
      <c r="G234" s="23" t="str">
        <f>TEXT(WEEKDAY(Data_Analyst_Intern_Nikhil_Kumar_February2026[[#This Row],[Order Date]],2), "dddd")</f>
        <v>Sunday</v>
      </c>
      <c r="H234" t="s">
        <v>1025</v>
      </c>
      <c r="I234" t="s">
        <v>39</v>
      </c>
      <c r="J234" t="s">
        <v>1026</v>
      </c>
      <c r="K234" t="s">
        <v>72</v>
      </c>
      <c r="L234" t="s">
        <v>1027</v>
      </c>
      <c r="M234" s="2">
        <v>599</v>
      </c>
      <c r="N234">
        <v>2</v>
      </c>
      <c r="O234" s="2">
        <v>1198</v>
      </c>
      <c r="P234" t="s">
        <v>995</v>
      </c>
      <c r="Q234">
        <v>20</v>
      </c>
      <c r="R234" s="4">
        <f>IFERROR(Data_Analyst_Intern_Nikhil_Kumar_February2026[[#This Row],[Total]]/Data_Analyst_Intern_Nikhil_Kumar_February2026[[#This Row],[Discount(%)]],0)</f>
        <v>59.9</v>
      </c>
      <c r="S234" s="2">
        <f>Data_Analyst_Intern_Nikhil_Kumar_February2026[[#This Row],[Total]]-Data_Analyst_Intern_Nikhil_Kumar_February2026[[#This Row],[Discount Amount]]</f>
        <v>1138.0999999999999</v>
      </c>
      <c r="T234" t="s">
        <v>56</v>
      </c>
      <c r="U234" t="s">
        <v>45</v>
      </c>
      <c r="V234" t="s">
        <v>1028</v>
      </c>
      <c r="W234" t="s">
        <v>1013</v>
      </c>
      <c r="X234" t="s">
        <v>46</v>
      </c>
      <c r="Y234" s="1">
        <v>45636</v>
      </c>
      <c r="Z234" s="3">
        <f>Data_Analyst_Intern_Nikhil_Kumar_February2026[[#This Row],[Del Date]]-Data_Analyst_Intern_Nikhil_Kumar_February2026[[#This Row],[Order Date]]</f>
        <v>8</v>
      </c>
      <c r="AA234" s="3" t="str" cm="1">
        <f t="array" ref="AA234">_xlfn.IFS(Data_Analyst_Intern_Nikhil_Kumar_February2026[[#This Row],[Del Days]]&lt;=7,"Fast",Data_Analyst_Intern_Nikhil_Kumar_February2026[[#This Row],[Del Days]]&lt;=15,"Standard",Data_Analyst_Intern_Nikhil_Kumar_February2026[[#This Row],[Del Days]]&gt;15,"Slow")</f>
        <v>Standard</v>
      </c>
      <c r="AB234" t="s">
        <v>34</v>
      </c>
      <c r="AC234">
        <f>IF(Data_Analyst_Intern_Nikhil_Kumar_February2026[[#This Row],[Status]]="RTO", 1,0)</f>
        <v>0</v>
      </c>
      <c r="AD234">
        <f>IF(Data_Analyst_Intern_Nikhil_Kumar_February2026[[#This Row],[Status]]="Delivered",1,0)</f>
        <v>1</v>
      </c>
      <c r="AE234" t="s">
        <v>35</v>
      </c>
      <c r="AF234">
        <f>IF(AND(Data_Analyst_Intern_Nikhil_Kumar_February2026[[#This Row],[Status]]="Delivered",Data_Analyst_Intern_Nikhil_Kumar_February2026[[#This Row],[Return?]]="Yes"),1,0)</f>
        <v>0</v>
      </c>
      <c r="AG234" t="s">
        <v>29</v>
      </c>
      <c r="AI234" t="s">
        <v>36</v>
      </c>
    </row>
    <row r="235" spans="1:35" x14ac:dyDescent="0.3">
      <c r="A235" t="s">
        <v>1029</v>
      </c>
      <c r="B235" s="1">
        <v>45629</v>
      </c>
      <c r="C235" s="1" t="str">
        <f>TEXT(Data_Analyst_Intern_Nikhil_Kumar_February2026[[#This Row],[Order Date]], "mmmm")</f>
        <v>December</v>
      </c>
      <c r="D235" s="23">
        <f>WEEKNUM(Data_Analyst_Intern_Nikhil_Kumar_February2026[[#This Row],[Order Date]],2)</f>
        <v>49</v>
      </c>
      <c r="E235" s="23" t="str">
        <f>TEXT(Data_Analyst_Intern_Nikhil_Kumar_February2026[[#This Row],[Order Date]],"dddd")</f>
        <v>Tuesday</v>
      </c>
      <c r="F235" s="1">
        <v>45628</v>
      </c>
      <c r="G235" s="23" t="str">
        <f>TEXT(WEEKDAY(Data_Analyst_Intern_Nikhil_Kumar_February2026[[#This Row],[Order Date]],2), "dddd")</f>
        <v>Monday</v>
      </c>
      <c r="H235" t="s">
        <v>1030</v>
      </c>
      <c r="I235" t="s">
        <v>25</v>
      </c>
      <c r="J235" t="s">
        <v>1031</v>
      </c>
      <c r="K235" t="s">
        <v>27</v>
      </c>
      <c r="L235" t="s">
        <v>1032</v>
      </c>
      <c r="M235" s="2">
        <v>2199</v>
      </c>
      <c r="N235">
        <v>1</v>
      </c>
      <c r="O235" s="2">
        <v>2199</v>
      </c>
      <c r="P235" t="s">
        <v>29</v>
      </c>
      <c r="Q235">
        <v>0</v>
      </c>
      <c r="R235" s="4">
        <f>IFERROR(Data_Analyst_Intern_Nikhil_Kumar_February2026[[#This Row],[Total]]/Data_Analyst_Intern_Nikhil_Kumar_February2026[[#This Row],[Discount(%)]],0)</f>
        <v>0</v>
      </c>
      <c r="S235" s="2">
        <f>Data_Analyst_Intern_Nikhil_Kumar_February2026[[#This Row],[Total]]-Data_Analyst_Intern_Nikhil_Kumar_February2026[[#This Row],[Discount Amount]]</f>
        <v>2199</v>
      </c>
      <c r="T235" t="s">
        <v>65</v>
      </c>
      <c r="U235" t="s">
        <v>66</v>
      </c>
      <c r="V235" t="s">
        <v>1033</v>
      </c>
      <c r="W235" t="s">
        <v>92</v>
      </c>
      <c r="X235" t="s">
        <v>46</v>
      </c>
      <c r="Y235" s="1">
        <v>45638</v>
      </c>
      <c r="Z235" s="3">
        <f>Data_Analyst_Intern_Nikhil_Kumar_February2026[[#This Row],[Del Date]]-Data_Analyst_Intern_Nikhil_Kumar_February2026[[#This Row],[Order Date]]</f>
        <v>9</v>
      </c>
      <c r="AA235" s="3" t="str" cm="1">
        <f t="array" ref="AA235">_xlfn.IFS(Data_Analyst_Intern_Nikhil_Kumar_February2026[[#This Row],[Del Days]]&lt;=7,"Fast",Data_Analyst_Intern_Nikhil_Kumar_February2026[[#This Row],[Del Days]]&lt;=15,"Standard",Data_Analyst_Intern_Nikhil_Kumar_February2026[[#This Row],[Del Days]]&gt;15,"Slow")</f>
        <v>Standard</v>
      </c>
      <c r="AB235" t="s">
        <v>34</v>
      </c>
      <c r="AC235">
        <f>IF(Data_Analyst_Intern_Nikhil_Kumar_February2026[[#This Row],[Status]]="RTO", 1,0)</f>
        <v>0</v>
      </c>
      <c r="AD235">
        <f>IF(Data_Analyst_Intern_Nikhil_Kumar_February2026[[#This Row],[Status]]="Delivered",1,0)</f>
        <v>1</v>
      </c>
      <c r="AE235" t="s">
        <v>47</v>
      </c>
      <c r="AF235">
        <f>IF(AND(Data_Analyst_Intern_Nikhil_Kumar_February2026[[#This Row],[Status]]="Delivered",Data_Analyst_Intern_Nikhil_Kumar_February2026[[#This Row],[Return?]]="Yes"),1,0)</f>
        <v>1</v>
      </c>
      <c r="AG235" t="s">
        <v>48</v>
      </c>
      <c r="AH235" s="1">
        <v>45660</v>
      </c>
      <c r="AI235" t="s">
        <v>49</v>
      </c>
    </row>
    <row r="236" spans="1:35" x14ac:dyDescent="0.3">
      <c r="A236" t="s">
        <v>1034</v>
      </c>
      <c r="B236" s="1">
        <v>45629</v>
      </c>
      <c r="C236" s="1" t="str">
        <f>TEXT(Data_Analyst_Intern_Nikhil_Kumar_February2026[[#This Row],[Order Date]], "mmmm")</f>
        <v>December</v>
      </c>
      <c r="D236" s="23">
        <f>WEEKNUM(Data_Analyst_Intern_Nikhil_Kumar_February2026[[#This Row],[Order Date]],2)</f>
        <v>49</v>
      </c>
      <c r="E236" s="23" t="str">
        <f>TEXT(Data_Analyst_Intern_Nikhil_Kumar_February2026[[#This Row],[Order Date]],"dddd")</f>
        <v>Tuesday</v>
      </c>
      <c r="F236" s="1">
        <v>45628</v>
      </c>
      <c r="G236" s="23" t="str">
        <f>TEXT(WEEKDAY(Data_Analyst_Intern_Nikhil_Kumar_February2026[[#This Row],[Order Date]],2), "dddd")</f>
        <v>Monday</v>
      </c>
      <c r="H236" t="s">
        <v>1035</v>
      </c>
      <c r="I236" t="s">
        <v>25</v>
      </c>
      <c r="J236" t="s">
        <v>1036</v>
      </c>
      <c r="K236" t="s">
        <v>41</v>
      </c>
      <c r="L236" t="s">
        <v>278</v>
      </c>
      <c r="M236" s="2">
        <v>2499</v>
      </c>
      <c r="N236">
        <v>1</v>
      </c>
      <c r="O236" s="2">
        <v>2499</v>
      </c>
      <c r="P236" t="s">
        <v>995</v>
      </c>
      <c r="Q236">
        <v>20</v>
      </c>
      <c r="R236" s="4">
        <f>IFERROR(Data_Analyst_Intern_Nikhil_Kumar_February2026[[#This Row],[Total]]/Data_Analyst_Intern_Nikhil_Kumar_February2026[[#This Row],[Discount(%)]],0)</f>
        <v>124.95</v>
      </c>
      <c r="S236" s="2">
        <f>Data_Analyst_Intern_Nikhil_Kumar_February2026[[#This Row],[Total]]-Data_Analyst_Intern_Nikhil_Kumar_February2026[[#This Row],[Discount Amount]]</f>
        <v>2374.0500000000002</v>
      </c>
      <c r="T236" t="s">
        <v>44</v>
      </c>
      <c r="U236" t="s">
        <v>31</v>
      </c>
      <c r="V236" t="s">
        <v>1037</v>
      </c>
      <c r="W236" t="s">
        <v>1038</v>
      </c>
      <c r="X236" t="s">
        <v>46</v>
      </c>
      <c r="Y236" s="1">
        <v>45638</v>
      </c>
      <c r="Z236" s="3">
        <f>Data_Analyst_Intern_Nikhil_Kumar_February2026[[#This Row],[Del Date]]-Data_Analyst_Intern_Nikhil_Kumar_February2026[[#This Row],[Order Date]]</f>
        <v>9</v>
      </c>
      <c r="AA236" s="3" t="str" cm="1">
        <f t="array" ref="AA236">_xlfn.IFS(Data_Analyst_Intern_Nikhil_Kumar_February2026[[#This Row],[Del Days]]&lt;=7,"Fast",Data_Analyst_Intern_Nikhil_Kumar_February2026[[#This Row],[Del Days]]&lt;=15,"Standard",Data_Analyst_Intern_Nikhil_Kumar_February2026[[#This Row],[Del Days]]&gt;15,"Slow")</f>
        <v>Standard</v>
      </c>
      <c r="AB236" t="s">
        <v>34</v>
      </c>
      <c r="AC236">
        <f>IF(Data_Analyst_Intern_Nikhil_Kumar_February2026[[#This Row],[Status]]="RTO", 1,0)</f>
        <v>0</v>
      </c>
      <c r="AD236">
        <f>IF(Data_Analyst_Intern_Nikhil_Kumar_February2026[[#This Row],[Status]]="Delivered",1,0)</f>
        <v>1</v>
      </c>
      <c r="AE236" t="s">
        <v>35</v>
      </c>
      <c r="AF236">
        <f>IF(AND(Data_Analyst_Intern_Nikhil_Kumar_February2026[[#This Row],[Status]]="Delivered",Data_Analyst_Intern_Nikhil_Kumar_February2026[[#This Row],[Return?]]="Yes"),1,0)</f>
        <v>0</v>
      </c>
      <c r="AG236" t="s">
        <v>29</v>
      </c>
      <c r="AI236" t="s">
        <v>36</v>
      </c>
    </row>
    <row r="237" spans="1:35" x14ac:dyDescent="0.3">
      <c r="A237" t="s">
        <v>1039</v>
      </c>
      <c r="B237" s="1">
        <v>45629</v>
      </c>
      <c r="C237" s="1" t="str">
        <f>TEXT(Data_Analyst_Intern_Nikhil_Kumar_February2026[[#This Row],[Order Date]], "mmmm")</f>
        <v>December</v>
      </c>
      <c r="D237" s="23">
        <f>WEEKNUM(Data_Analyst_Intern_Nikhil_Kumar_February2026[[#This Row],[Order Date]],2)</f>
        <v>49</v>
      </c>
      <c r="E237" s="23" t="str">
        <f>TEXT(Data_Analyst_Intern_Nikhil_Kumar_February2026[[#This Row],[Order Date]],"dddd")</f>
        <v>Tuesday</v>
      </c>
      <c r="F237" s="1">
        <v>45628</v>
      </c>
      <c r="G237" s="23" t="str">
        <f>TEXT(WEEKDAY(Data_Analyst_Intern_Nikhil_Kumar_February2026[[#This Row],[Order Date]],2), "dddd")</f>
        <v>Monday</v>
      </c>
      <c r="H237" t="s">
        <v>1040</v>
      </c>
      <c r="I237" t="s">
        <v>25</v>
      </c>
      <c r="J237" t="s">
        <v>1041</v>
      </c>
      <c r="K237" t="s">
        <v>54</v>
      </c>
      <c r="L237" t="s">
        <v>1042</v>
      </c>
      <c r="M237" s="2">
        <v>2999</v>
      </c>
      <c r="N237">
        <v>1</v>
      </c>
      <c r="O237" s="2">
        <v>2999</v>
      </c>
      <c r="P237" t="s">
        <v>29</v>
      </c>
      <c r="Q237">
        <v>0</v>
      </c>
      <c r="R237" s="4">
        <f>IFERROR(Data_Analyst_Intern_Nikhil_Kumar_February2026[[#This Row],[Total]]/Data_Analyst_Intern_Nikhil_Kumar_February2026[[#This Row],[Discount(%)]],0)</f>
        <v>0</v>
      </c>
      <c r="S237" s="2">
        <f>Data_Analyst_Intern_Nikhil_Kumar_February2026[[#This Row],[Total]]-Data_Analyst_Intern_Nikhil_Kumar_February2026[[#This Row],[Discount Amount]]</f>
        <v>2999</v>
      </c>
      <c r="T237" t="s">
        <v>30</v>
      </c>
      <c r="U237" t="s">
        <v>45</v>
      </c>
      <c r="V237" t="s">
        <v>1043</v>
      </c>
      <c r="W237" t="s">
        <v>1044</v>
      </c>
      <c r="X237" t="s">
        <v>46</v>
      </c>
      <c r="Y237" s="1">
        <v>45640</v>
      </c>
      <c r="Z237" s="3">
        <f>Data_Analyst_Intern_Nikhil_Kumar_February2026[[#This Row],[Del Date]]-Data_Analyst_Intern_Nikhil_Kumar_February2026[[#This Row],[Order Date]]</f>
        <v>11</v>
      </c>
      <c r="AA237" s="3" t="str" cm="1">
        <f t="array" ref="AA237">_xlfn.IFS(Data_Analyst_Intern_Nikhil_Kumar_February2026[[#This Row],[Del Days]]&lt;=7,"Fast",Data_Analyst_Intern_Nikhil_Kumar_February2026[[#This Row],[Del Days]]&lt;=15,"Standard",Data_Analyst_Intern_Nikhil_Kumar_February2026[[#This Row],[Del Days]]&gt;15,"Slow")</f>
        <v>Standard</v>
      </c>
      <c r="AB237" t="s">
        <v>34</v>
      </c>
      <c r="AC237">
        <f>IF(Data_Analyst_Intern_Nikhil_Kumar_February2026[[#This Row],[Status]]="RTO", 1,0)</f>
        <v>0</v>
      </c>
      <c r="AD237">
        <f>IF(Data_Analyst_Intern_Nikhil_Kumar_February2026[[#This Row],[Status]]="Delivered",1,0)</f>
        <v>1</v>
      </c>
      <c r="AE237" t="s">
        <v>47</v>
      </c>
      <c r="AF237">
        <f>IF(AND(Data_Analyst_Intern_Nikhil_Kumar_February2026[[#This Row],[Status]]="Delivered",Data_Analyst_Intern_Nikhil_Kumar_February2026[[#This Row],[Return?]]="Yes"),1,0)</f>
        <v>1</v>
      </c>
      <c r="AG237" t="s">
        <v>69</v>
      </c>
      <c r="AH237" s="1">
        <v>45662</v>
      </c>
      <c r="AI237" t="s">
        <v>49</v>
      </c>
    </row>
    <row r="238" spans="1:35" x14ac:dyDescent="0.3">
      <c r="A238" t="s">
        <v>1045</v>
      </c>
      <c r="B238" s="1">
        <v>45629</v>
      </c>
      <c r="C238" s="1" t="str">
        <f>TEXT(Data_Analyst_Intern_Nikhil_Kumar_February2026[[#This Row],[Order Date]], "mmmm")</f>
        <v>December</v>
      </c>
      <c r="D238" s="23">
        <f>WEEKNUM(Data_Analyst_Intern_Nikhil_Kumar_February2026[[#This Row],[Order Date]],2)</f>
        <v>49</v>
      </c>
      <c r="E238" s="23" t="str">
        <f>TEXT(Data_Analyst_Intern_Nikhil_Kumar_February2026[[#This Row],[Order Date]],"dddd")</f>
        <v>Tuesday</v>
      </c>
      <c r="F238" s="1">
        <v>45628</v>
      </c>
      <c r="G238" s="23" t="str">
        <f>TEXT(WEEKDAY(Data_Analyst_Intern_Nikhil_Kumar_February2026[[#This Row],[Order Date]],2), "dddd")</f>
        <v>Monday</v>
      </c>
      <c r="H238" t="s">
        <v>1046</v>
      </c>
      <c r="I238" t="s">
        <v>25</v>
      </c>
      <c r="J238" t="s">
        <v>1047</v>
      </c>
      <c r="K238" t="s">
        <v>62</v>
      </c>
      <c r="L238" t="s">
        <v>1048</v>
      </c>
      <c r="M238" s="2">
        <v>7999</v>
      </c>
      <c r="N238">
        <v>1</v>
      </c>
      <c r="O238" s="2">
        <v>7999</v>
      </c>
      <c r="P238" t="s">
        <v>995</v>
      </c>
      <c r="Q238">
        <v>20</v>
      </c>
      <c r="R238" s="4">
        <f>IFERROR(Data_Analyst_Intern_Nikhil_Kumar_February2026[[#This Row],[Total]]/Data_Analyst_Intern_Nikhil_Kumar_February2026[[#This Row],[Discount(%)]],0)</f>
        <v>399.95</v>
      </c>
      <c r="S238" s="2">
        <f>Data_Analyst_Intern_Nikhil_Kumar_February2026[[#This Row],[Total]]-Data_Analyst_Intern_Nikhil_Kumar_February2026[[#This Row],[Discount Amount]]</f>
        <v>7599.05</v>
      </c>
      <c r="T238" t="s">
        <v>112</v>
      </c>
      <c r="U238" t="s">
        <v>66</v>
      </c>
      <c r="V238" t="s">
        <v>1049</v>
      </c>
      <c r="W238" t="s">
        <v>1050</v>
      </c>
      <c r="X238" t="s">
        <v>46</v>
      </c>
      <c r="Y238" s="1">
        <v>45640</v>
      </c>
      <c r="Z238" s="3">
        <f>Data_Analyst_Intern_Nikhil_Kumar_February2026[[#This Row],[Del Date]]-Data_Analyst_Intern_Nikhil_Kumar_February2026[[#This Row],[Order Date]]</f>
        <v>11</v>
      </c>
      <c r="AA238" s="3" t="str" cm="1">
        <f t="array" ref="AA238">_xlfn.IFS(Data_Analyst_Intern_Nikhil_Kumar_February2026[[#This Row],[Del Days]]&lt;=7,"Fast",Data_Analyst_Intern_Nikhil_Kumar_February2026[[#This Row],[Del Days]]&lt;=15,"Standard",Data_Analyst_Intern_Nikhil_Kumar_February2026[[#This Row],[Del Days]]&gt;15,"Slow")</f>
        <v>Standard</v>
      </c>
      <c r="AB238" t="s">
        <v>34</v>
      </c>
      <c r="AC238">
        <f>IF(Data_Analyst_Intern_Nikhil_Kumar_February2026[[#This Row],[Status]]="RTO", 1,0)</f>
        <v>0</v>
      </c>
      <c r="AD238">
        <f>IF(Data_Analyst_Intern_Nikhil_Kumar_February2026[[#This Row],[Status]]="Delivered",1,0)</f>
        <v>1</v>
      </c>
      <c r="AE238" t="s">
        <v>35</v>
      </c>
      <c r="AF238">
        <f>IF(AND(Data_Analyst_Intern_Nikhil_Kumar_February2026[[#This Row],[Status]]="Delivered",Data_Analyst_Intern_Nikhil_Kumar_February2026[[#This Row],[Return?]]="Yes"),1,0)</f>
        <v>0</v>
      </c>
      <c r="AG238" t="s">
        <v>29</v>
      </c>
      <c r="AI238" t="s">
        <v>36</v>
      </c>
    </row>
    <row r="239" spans="1:35" x14ac:dyDescent="0.3">
      <c r="A239" t="s">
        <v>1051</v>
      </c>
      <c r="B239" s="1">
        <v>45630</v>
      </c>
      <c r="C239" s="1" t="str">
        <f>TEXT(Data_Analyst_Intern_Nikhil_Kumar_February2026[[#This Row],[Order Date]], "mmmm")</f>
        <v>December</v>
      </c>
      <c r="D239" s="23">
        <f>WEEKNUM(Data_Analyst_Intern_Nikhil_Kumar_February2026[[#This Row],[Order Date]],2)</f>
        <v>49</v>
      </c>
      <c r="E239" s="23" t="str">
        <f>TEXT(Data_Analyst_Intern_Nikhil_Kumar_February2026[[#This Row],[Order Date]],"dddd")</f>
        <v>Wednesday</v>
      </c>
      <c r="F239" s="1">
        <v>45628</v>
      </c>
      <c r="G239" s="23" t="str">
        <f>TEXT(WEEKDAY(Data_Analyst_Intern_Nikhil_Kumar_February2026[[#This Row],[Order Date]],2), "dddd")</f>
        <v>Tuesday</v>
      </c>
      <c r="H239" t="s">
        <v>1052</v>
      </c>
      <c r="I239" t="s">
        <v>39</v>
      </c>
      <c r="J239" t="s">
        <v>1053</v>
      </c>
      <c r="K239" t="s">
        <v>27</v>
      </c>
      <c r="L239" t="s">
        <v>1054</v>
      </c>
      <c r="M239" s="2">
        <v>1999</v>
      </c>
      <c r="N239">
        <v>1</v>
      </c>
      <c r="O239" s="2">
        <v>1999</v>
      </c>
      <c r="P239" t="s">
        <v>29</v>
      </c>
      <c r="Q239">
        <v>0</v>
      </c>
      <c r="R239" s="4">
        <f>IFERROR(Data_Analyst_Intern_Nikhil_Kumar_February2026[[#This Row],[Total]]/Data_Analyst_Intern_Nikhil_Kumar_February2026[[#This Row],[Discount(%)]],0)</f>
        <v>0</v>
      </c>
      <c r="S239" s="2">
        <f>Data_Analyst_Intern_Nikhil_Kumar_February2026[[#This Row],[Total]]-Data_Analyst_Intern_Nikhil_Kumar_February2026[[#This Row],[Discount Amount]]</f>
        <v>1999</v>
      </c>
      <c r="T239" t="s">
        <v>44</v>
      </c>
      <c r="U239" t="s">
        <v>31</v>
      </c>
      <c r="V239" t="s">
        <v>1055</v>
      </c>
      <c r="W239" t="s">
        <v>68</v>
      </c>
      <c r="X239" t="s">
        <v>57</v>
      </c>
      <c r="Y239" s="1">
        <v>45639</v>
      </c>
      <c r="Z239" s="3">
        <f>Data_Analyst_Intern_Nikhil_Kumar_February2026[[#This Row],[Del Date]]-Data_Analyst_Intern_Nikhil_Kumar_February2026[[#This Row],[Order Date]]</f>
        <v>9</v>
      </c>
      <c r="AA239" s="3" t="str" cm="1">
        <f t="array" ref="AA239">_xlfn.IFS(Data_Analyst_Intern_Nikhil_Kumar_February2026[[#This Row],[Del Days]]&lt;=7,"Fast",Data_Analyst_Intern_Nikhil_Kumar_February2026[[#This Row],[Del Days]]&lt;=15,"Standard",Data_Analyst_Intern_Nikhil_Kumar_February2026[[#This Row],[Del Days]]&gt;15,"Slow")</f>
        <v>Standard</v>
      </c>
      <c r="AB239" t="s">
        <v>34</v>
      </c>
      <c r="AC239">
        <f>IF(Data_Analyst_Intern_Nikhil_Kumar_February2026[[#This Row],[Status]]="RTO", 1,0)</f>
        <v>0</v>
      </c>
      <c r="AD239">
        <f>IF(Data_Analyst_Intern_Nikhil_Kumar_February2026[[#This Row],[Status]]="Delivered",1,0)</f>
        <v>1</v>
      </c>
      <c r="AE239" t="s">
        <v>35</v>
      </c>
      <c r="AF239">
        <f>IF(AND(Data_Analyst_Intern_Nikhil_Kumar_February2026[[#This Row],[Status]]="Delivered",Data_Analyst_Intern_Nikhil_Kumar_February2026[[#This Row],[Return?]]="Yes"),1,0)</f>
        <v>0</v>
      </c>
      <c r="AG239" t="s">
        <v>29</v>
      </c>
      <c r="AI239" t="s">
        <v>36</v>
      </c>
    </row>
    <row r="240" spans="1:35" x14ac:dyDescent="0.3">
      <c r="A240" t="s">
        <v>1056</v>
      </c>
      <c r="B240" s="1">
        <v>45630</v>
      </c>
      <c r="C240" s="1" t="str">
        <f>TEXT(Data_Analyst_Intern_Nikhil_Kumar_February2026[[#This Row],[Order Date]], "mmmm")</f>
        <v>December</v>
      </c>
      <c r="D240" s="23">
        <f>WEEKNUM(Data_Analyst_Intern_Nikhil_Kumar_February2026[[#This Row],[Order Date]],2)</f>
        <v>49</v>
      </c>
      <c r="E240" s="23" t="str">
        <f>TEXT(Data_Analyst_Intern_Nikhil_Kumar_February2026[[#This Row],[Order Date]],"dddd")</f>
        <v>Wednesday</v>
      </c>
      <c r="F240" s="1">
        <v>45628</v>
      </c>
      <c r="G240" s="23" t="str">
        <f>TEXT(WEEKDAY(Data_Analyst_Intern_Nikhil_Kumar_February2026[[#This Row],[Order Date]],2), "dddd")</f>
        <v>Tuesday</v>
      </c>
      <c r="H240" t="s">
        <v>1057</v>
      </c>
      <c r="I240" t="s">
        <v>25</v>
      </c>
      <c r="J240" t="s">
        <v>1058</v>
      </c>
      <c r="K240" t="s">
        <v>72</v>
      </c>
      <c r="L240" t="s">
        <v>1059</v>
      </c>
      <c r="M240" s="2">
        <v>499</v>
      </c>
      <c r="N240">
        <v>2</v>
      </c>
      <c r="O240" s="2">
        <v>998</v>
      </c>
      <c r="P240" t="s">
        <v>995</v>
      </c>
      <c r="Q240">
        <v>20</v>
      </c>
      <c r="R240" s="4">
        <f>IFERROR(Data_Analyst_Intern_Nikhil_Kumar_February2026[[#This Row],[Total]]/Data_Analyst_Intern_Nikhil_Kumar_February2026[[#This Row],[Discount(%)]],0)</f>
        <v>49.9</v>
      </c>
      <c r="S240" s="2">
        <f>Data_Analyst_Intern_Nikhil_Kumar_February2026[[#This Row],[Total]]-Data_Analyst_Intern_Nikhil_Kumar_February2026[[#This Row],[Discount Amount]]</f>
        <v>948.1</v>
      </c>
      <c r="T240" t="s">
        <v>56</v>
      </c>
      <c r="U240" t="s">
        <v>45</v>
      </c>
      <c r="V240" t="s">
        <v>1060</v>
      </c>
      <c r="W240" t="s">
        <v>183</v>
      </c>
      <c r="X240" t="s">
        <v>57</v>
      </c>
      <c r="Y240" s="1">
        <v>45639</v>
      </c>
      <c r="Z240" s="3">
        <f>Data_Analyst_Intern_Nikhil_Kumar_February2026[[#This Row],[Del Date]]-Data_Analyst_Intern_Nikhil_Kumar_February2026[[#This Row],[Order Date]]</f>
        <v>9</v>
      </c>
      <c r="AA240" s="3" t="str" cm="1">
        <f t="array" ref="AA240">_xlfn.IFS(Data_Analyst_Intern_Nikhil_Kumar_February2026[[#This Row],[Del Days]]&lt;=7,"Fast",Data_Analyst_Intern_Nikhil_Kumar_February2026[[#This Row],[Del Days]]&lt;=15,"Standard",Data_Analyst_Intern_Nikhil_Kumar_February2026[[#This Row],[Del Days]]&gt;15,"Slow")</f>
        <v>Standard</v>
      </c>
      <c r="AB240" t="s">
        <v>34</v>
      </c>
      <c r="AC240">
        <f>IF(Data_Analyst_Intern_Nikhil_Kumar_February2026[[#This Row],[Status]]="RTO", 1,0)</f>
        <v>0</v>
      </c>
      <c r="AD240">
        <f>IF(Data_Analyst_Intern_Nikhil_Kumar_February2026[[#This Row],[Status]]="Delivered",1,0)</f>
        <v>1</v>
      </c>
      <c r="AE240" t="s">
        <v>35</v>
      </c>
      <c r="AF240">
        <f>IF(AND(Data_Analyst_Intern_Nikhil_Kumar_February2026[[#This Row],[Status]]="Delivered",Data_Analyst_Intern_Nikhil_Kumar_February2026[[#This Row],[Return?]]="Yes"),1,0)</f>
        <v>0</v>
      </c>
      <c r="AG240" t="s">
        <v>29</v>
      </c>
      <c r="AI240" t="s">
        <v>36</v>
      </c>
    </row>
    <row r="241" spans="1:35" x14ac:dyDescent="0.3">
      <c r="A241" t="s">
        <v>1061</v>
      </c>
      <c r="B241" s="1">
        <v>45630</v>
      </c>
      <c r="C241" s="1" t="str">
        <f>TEXT(Data_Analyst_Intern_Nikhil_Kumar_February2026[[#This Row],[Order Date]], "mmmm")</f>
        <v>December</v>
      </c>
      <c r="D241" s="23">
        <f>WEEKNUM(Data_Analyst_Intern_Nikhil_Kumar_February2026[[#This Row],[Order Date]],2)</f>
        <v>49</v>
      </c>
      <c r="E241" s="23" t="str">
        <f>TEXT(Data_Analyst_Intern_Nikhil_Kumar_February2026[[#This Row],[Order Date]],"dddd")</f>
        <v>Wednesday</v>
      </c>
      <c r="F241" s="1">
        <v>45628</v>
      </c>
      <c r="G241" s="23" t="str">
        <f>TEXT(WEEKDAY(Data_Analyst_Intern_Nikhil_Kumar_February2026[[#This Row],[Order Date]],2), "dddd")</f>
        <v>Tuesday</v>
      </c>
      <c r="H241" t="s">
        <v>1062</v>
      </c>
      <c r="I241" t="s">
        <v>25</v>
      </c>
      <c r="J241" t="s">
        <v>1063</v>
      </c>
      <c r="K241" t="s">
        <v>41</v>
      </c>
      <c r="L241" t="s">
        <v>1064</v>
      </c>
      <c r="M241" s="2">
        <v>4999</v>
      </c>
      <c r="N241">
        <v>1</v>
      </c>
      <c r="O241" s="2">
        <v>4999</v>
      </c>
      <c r="P241" t="s">
        <v>29</v>
      </c>
      <c r="Q241">
        <v>0</v>
      </c>
      <c r="R241" s="4">
        <f>IFERROR(Data_Analyst_Intern_Nikhil_Kumar_February2026[[#This Row],[Total]]/Data_Analyst_Intern_Nikhil_Kumar_February2026[[#This Row],[Discount(%)]],0)</f>
        <v>0</v>
      </c>
      <c r="S241" s="2">
        <f>Data_Analyst_Intern_Nikhil_Kumar_February2026[[#This Row],[Total]]-Data_Analyst_Intern_Nikhil_Kumar_February2026[[#This Row],[Discount Amount]]</f>
        <v>4999</v>
      </c>
      <c r="T241" t="s">
        <v>65</v>
      </c>
      <c r="U241" t="s">
        <v>66</v>
      </c>
      <c r="V241" t="s">
        <v>1065</v>
      </c>
      <c r="W241" t="s">
        <v>1065</v>
      </c>
      <c r="X241" t="s">
        <v>32</v>
      </c>
      <c r="Y241" s="1">
        <v>45640</v>
      </c>
      <c r="Z241" s="3">
        <f>Data_Analyst_Intern_Nikhil_Kumar_February2026[[#This Row],[Del Date]]-Data_Analyst_Intern_Nikhil_Kumar_February2026[[#This Row],[Order Date]]</f>
        <v>10</v>
      </c>
      <c r="AA241" s="3" t="str" cm="1">
        <f t="array" ref="AA241">_xlfn.IFS(Data_Analyst_Intern_Nikhil_Kumar_February2026[[#This Row],[Del Days]]&lt;=7,"Fast",Data_Analyst_Intern_Nikhil_Kumar_February2026[[#This Row],[Del Days]]&lt;=15,"Standard",Data_Analyst_Intern_Nikhil_Kumar_February2026[[#This Row],[Del Days]]&gt;15,"Slow")</f>
        <v>Standard</v>
      </c>
      <c r="AB241" t="s">
        <v>34</v>
      </c>
      <c r="AC241">
        <f>IF(Data_Analyst_Intern_Nikhil_Kumar_February2026[[#This Row],[Status]]="RTO", 1,0)</f>
        <v>0</v>
      </c>
      <c r="AD241">
        <f>IF(Data_Analyst_Intern_Nikhil_Kumar_February2026[[#This Row],[Status]]="Delivered",1,0)</f>
        <v>1</v>
      </c>
      <c r="AE241" t="s">
        <v>47</v>
      </c>
      <c r="AF241">
        <f>IF(AND(Data_Analyst_Intern_Nikhil_Kumar_February2026[[#This Row],[Status]]="Delivered",Data_Analyst_Intern_Nikhil_Kumar_February2026[[#This Row],[Return?]]="Yes"),1,0)</f>
        <v>1</v>
      </c>
      <c r="AG241" t="s">
        <v>48</v>
      </c>
      <c r="AH241" s="1">
        <v>45663</v>
      </c>
      <c r="AI241" t="s">
        <v>49</v>
      </c>
    </row>
    <row r="242" spans="1:35" x14ac:dyDescent="0.3">
      <c r="A242" t="s">
        <v>1066</v>
      </c>
      <c r="B242" s="1">
        <v>45630</v>
      </c>
      <c r="C242" s="1" t="str">
        <f>TEXT(Data_Analyst_Intern_Nikhil_Kumar_February2026[[#This Row],[Order Date]], "mmmm")</f>
        <v>December</v>
      </c>
      <c r="D242" s="23">
        <f>WEEKNUM(Data_Analyst_Intern_Nikhil_Kumar_February2026[[#This Row],[Order Date]],2)</f>
        <v>49</v>
      </c>
      <c r="E242" s="23" t="str">
        <f>TEXT(Data_Analyst_Intern_Nikhil_Kumar_February2026[[#This Row],[Order Date]],"dddd")</f>
        <v>Wednesday</v>
      </c>
      <c r="F242" s="1">
        <v>45628</v>
      </c>
      <c r="G242" s="23" t="str">
        <f>TEXT(WEEKDAY(Data_Analyst_Intern_Nikhil_Kumar_February2026[[#This Row],[Order Date]],2), "dddd")</f>
        <v>Tuesday</v>
      </c>
      <c r="H242" t="s">
        <v>1067</v>
      </c>
      <c r="I242" t="s">
        <v>25</v>
      </c>
      <c r="J242" t="s">
        <v>1068</v>
      </c>
      <c r="K242" t="s">
        <v>27</v>
      </c>
      <c r="L242" t="s">
        <v>1069</v>
      </c>
      <c r="M242" s="2">
        <v>2299</v>
      </c>
      <c r="N242">
        <v>1</v>
      </c>
      <c r="O242" s="2">
        <v>2299</v>
      </c>
      <c r="P242" t="s">
        <v>995</v>
      </c>
      <c r="Q242">
        <v>20</v>
      </c>
      <c r="R242" s="4">
        <f>IFERROR(Data_Analyst_Intern_Nikhil_Kumar_February2026[[#This Row],[Total]]/Data_Analyst_Intern_Nikhil_Kumar_February2026[[#This Row],[Discount(%)]],0)</f>
        <v>114.95</v>
      </c>
      <c r="S242" s="2">
        <f>Data_Analyst_Intern_Nikhil_Kumar_February2026[[#This Row],[Total]]-Data_Analyst_Intern_Nikhil_Kumar_February2026[[#This Row],[Discount Amount]]</f>
        <v>2184.0500000000002</v>
      </c>
      <c r="T242" t="s">
        <v>30</v>
      </c>
      <c r="U242" t="s">
        <v>31</v>
      </c>
      <c r="V242" t="s">
        <v>32</v>
      </c>
      <c r="W242" t="s">
        <v>33</v>
      </c>
      <c r="X242" t="s">
        <v>32</v>
      </c>
      <c r="Y242" s="1">
        <v>45639</v>
      </c>
      <c r="Z242" s="3">
        <f>Data_Analyst_Intern_Nikhil_Kumar_February2026[[#This Row],[Del Date]]-Data_Analyst_Intern_Nikhil_Kumar_February2026[[#This Row],[Order Date]]</f>
        <v>9</v>
      </c>
      <c r="AA242" s="3" t="str" cm="1">
        <f t="array" ref="AA242">_xlfn.IFS(Data_Analyst_Intern_Nikhil_Kumar_February2026[[#This Row],[Del Days]]&lt;=7,"Fast",Data_Analyst_Intern_Nikhil_Kumar_February2026[[#This Row],[Del Days]]&lt;=15,"Standard",Data_Analyst_Intern_Nikhil_Kumar_February2026[[#This Row],[Del Days]]&gt;15,"Slow")</f>
        <v>Standard</v>
      </c>
      <c r="AB242" t="s">
        <v>34</v>
      </c>
      <c r="AC242">
        <f>IF(Data_Analyst_Intern_Nikhil_Kumar_February2026[[#This Row],[Status]]="RTO", 1,0)</f>
        <v>0</v>
      </c>
      <c r="AD242">
        <f>IF(Data_Analyst_Intern_Nikhil_Kumar_February2026[[#This Row],[Status]]="Delivered",1,0)</f>
        <v>1</v>
      </c>
      <c r="AE242" t="s">
        <v>35</v>
      </c>
      <c r="AF242">
        <f>IF(AND(Data_Analyst_Intern_Nikhil_Kumar_February2026[[#This Row],[Status]]="Delivered",Data_Analyst_Intern_Nikhil_Kumar_February2026[[#This Row],[Return?]]="Yes"),1,0)</f>
        <v>0</v>
      </c>
      <c r="AG242" t="s">
        <v>29</v>
      </c>
      <c r="AI242" t="s">
        <v>36</v>
      </c>
    </row>
    <row r="243" spans="1:35" x14ac:dyDescent="0.3">
      <c r="A243" t="s">
        <v>1070</v>
      </c>
      <c r="B243" s="1">
        <v>45631</v>
      </c>
      <c r="C243" s="1" t="str">
        <f>TEXT(Data_Analyst_Intern_Nikhil_Kumar_February2026[[#This Row],[Order Date]], "mmmm")</f>
        <v>December</v>
      </c>
      <c r="D243" s="23">
        <f>WEEKNUM(Data_Analyst_Intern_Nikhil_Kumar_February2026[[#This Row],[Order Date]],2)</f>
        <v>49</v>
      </c>
      <c r="E243" s="23" t="str">
        <f>TEXT(Data_Analyst_Intern_Nikhil_Kumar_February2026[[#This Row],[Order Date]],"dddd")</f>
        <v>Thursday</v>
      </c>
      <c r="F243" s="1">
        <v>45628</v>
      </c>
      <c r="G243" s="23" t="str">
        <f>TEXT(WEEKDAY(Data_Analyst_Intern_Nikhil_Kumar_February2026[[#This Row],[Order Date]],2), "dddd")</f>
        <v>Wednesday</v>
      </c>
      <c r="H243" t="s">
        <v>1071</v>
      </c>
      <c r="I243" t="s">
        <v>25</v>
      </c>
      <c r="J243" t="s">
        <v>1072</v>
      </c>
      <c r="K243" t="s">
        <v>54</v>
      </c>
      <c r="L243" t="s">
        <v>782</v>
      </c>
      <c r="M243" s="2">
        <v>2599</v>
      </c>
      <c r="N243">
        <v>1</v>
      </c>
      <c r="O243" s="2">
        <v>2599</v>
      </c>
      <c r="P243" t="s">
        <v>29</v>
      </c>
      <c r="Q243">
        <v>0</v>
      </c>
      <c r="R243" s="4">
        <f>IFERROR(Data_Analyst_Intern_Nikhil_Kumar_February2026[[#This Row],[Total]]/Data_Analyst_Intern_Nikhil_Kumar_February2026[[#This Row],[Discount(%)]],0)</f>
        <v>0</v>
      </c>
      <c r="S243" s="2">
        <f>Data_Analyst_Intern_Nikhil_Kumar_February2026[[#This Row],[Total]]-Data_Analyst_Intern_Nikhil_Kumar_February2026[[#This Row],[Discount Amount]]</f>
        <v>2599</v>
      </c>
      <c r="T243" t="s">
        <v>44</v>
      </c>
      <c r="U243" t="s">
        <v>45</v>
      </c>
      <c r="V243" t="s">
        <v>57</v>
      </c>
      <c r="W243" t="s">
        <v>58</v>
      </c>
      <c r="X243" t="s">
        <v>57</v>
      </c>
      <c r="Y243" s="1">
        <v>45641</v>
      </c>
      <c r="Z243" s="3">
        <f>Data_Analyst_Intern_Nikhil_Kumar_February2026[[#This Row],[Del Date]]-Data_Analyst_Intern_Nikhil_Kumar_February2026[[#This Row],[Order Date]]</f>
        <v>10</v>
      </c>
      <c r="AA243" s="3" t="str" cm="1">
        <f t="array" ref="AA243">_xlfn.IFS(Data_Analyst_Intern_Nikhil_Kumar_February2026[[#This Row],[Del Days]]&lt;=7,"Fast",Data_Analyst_Intern_Nikhil_Kumar_February2026[[#This Row],[Del Days]]&lt;=15,"Standard",Data_Analyst_Intern_Nikhil_Kumar_February2026[[#This Row],[Del Days]]&gt;15,"Slow")</f>
        <v>Standard</v>
      </c>
      <c r="AB243" t="s">
        <v>34</v>
      </c>
      <c r="AC243">
        <f>IF(Data_Analyst_Intern_Nikhil_Kumar_February2026[[#This Row],[Status]]="RTO", 1,0)</f>
        <v>0</v>
      </c>
      <c r="AD243">
        <f>IF(Data_Analyst_Intern_Nikhil_Kumar_February2026[[#This Row],[Status]]="Delivered",1,0)</f>
        <v>1</v>
      </c>
      <c r="AE243" t="s">
        <v>47</v>
      </c>
      <c r="AF243">
        <f>IF(AND(Data_Analyst_Intern_Nikhil_Kumar_February2026[[#This Row],[Status]]="Delivered",Data_Analyst_Intern_Nikhil_Kumar_February2026[[#This Row],[Return?]]="Yes"),1,0)</f>
        <v>1</v>
      </c>
      <c r="AG243" t="s">
        <v>80</v>
      </c>
      <c r="AH243" s="1">
        <v>45665</v>
      </c>
      <c r="AI243" t="s">
        <v>49</v>
      </c>
    </row>
    <row r="244" spans="1:35" x14ac:dyDescent="0.3">
      <c r="A244" t="s">
        <v>1073</v>
      </c>
      <c r="B244" s="1">
        <v>45631</v>
      </c>
      <c r="C244" s="1" t="str">
        <f>TEXT(Data_Analyst_Intern_Nikhil_Kumar_February2026[[#This Row],[Order Date]], "mmmm")</f>
        <v>December</v>
      </c>
      <c r="D244" s="23">
        <f>WEEKNUM(Data_Analyst_Intern_Nikhil_Kumar_February2026[[#This Row],[Order Date]],2)</f>
        <v>49</v>
      </c>
      <c r="E244" s="23" t="str">
        <f>TEXT(Data_Analyst_Intern_Nikhil_Kumar_February2026[[#This Row],[Order Date]],"dddd")</f>
        <v>Thursday</v>
      </c>
      <c r="F244" s="1">
        <v>45628</v>
      </c>
      <c r="G244" s="23" t="str">
        <f>TEXT(WEEKDAY(Data_Analyst_Intern_Nikhil_Kumar_February2026[[#This Row],[Order Date]],2), "dddd")</f>
        <v>Wednesday</v>
      </c>
      <c r="H244" t="s">
        <v>1074</v>
      </c>
      <c r="I244" t="s">
        <v>39</v>
      </c>
      <c r="J244" t="s">
        <v>1075</v>
      </c>
      <c r="K244" t="s">
        <v>62</v>
      </c>
      <c r="L244" t="s">
        <v>1076</v>
      </c>
      <c r="M244" s="2">
        <v>8999</v>
      </c>
      <c r="N244">
        <v>1</v>
      </c>
      <c r="O244" s="2">
        <v>8999</v>
      </c>
      <c r="P244" t="s">
        <v>995</v>
      </c>
      <c r="Q244">
        <v>20</v>
      </c>
      <c r="R244" s="4">
        <f>IFERROR(Data_Analyst_Intern_Nikhil_Kumar_February2026[[#This Row],[Total]]/Data_Analyst_Intern_Nikhil_Kumar_February2026[[#This Row],[Discount(%)]],0)</f>
        <v>449.95</v>
      </c>
      <c r="S244" s="2">
        <f>Data_Analyst_Intern_Nikhil_Kumar_February2026[[#This Row],[Total]]-Data_Analyst_Intern_Nikhil_Kumar_February2026[[#This Row],[Discount Amount]]</f>
        <v>8549.0499999999993</v>
      </c>
      <c r="T244" t="s">
        <v>112</v>
      </c>
      <c r="U244" t="s">
        <v>66</v>
      </c>
      <c r="V244" t="s">
        <v>46</v>
      </c>
      <c r="W244" t="s">
        <v>46</v>
      </c>
      <c r="X244" t="s">
        <v>46</v>
      </c>
      <c r="Y244" s="1">
        <v>45643</v>
      </c>
      <c r="Z244" s="3">
        <f>Data_Analyst_Intern_Nikhil_Kumar_February2026[[#This Row],[Del Date]]-Data_Analyst_Intern_Nikhil_Kumar_February2026[[#This Row],[Order Date]]</f>
        <v>12</v>
      </c>
      <c r="AA244" s="3" t="str" cm="1">
        <f t="array" ref="AA244">_xlfn.IFS(Data_Analyst_Intern_Nikhil_Kumar_February2026[[#This Row],[Del Days]]&lt;=7,"Fast",Data_Analyst_Intern_Nikhil_Kumar_February2026[[#This Row],[Del Days]]&lt;=15,"Standard",Data_Analyst_Intern_Nikhil_Kumar_February2026[[#This Row],[Del Days]]&gt;15,"Slow")</f>
        <v>Standard</v>
      </c>
      <c r="AB244" t="s">
        <v>34</v>
      </c>
      <c r="AC244">
        <f>IF(Data_Analyst_Intern_Nikhil_Kumar_February2026[[#This Row],[Status]]="RTO", 1,0)</f>
        <v>0</v>
      </c>
      <c r="AD244">
        <f>IF(Data_Analyst_Intern_Nikhil_Kumar_February2026[[#This Row],[Status]]="Delivered",1,0)</f>
        <v>1</v>
      </c>
      <c r="AE244" t="s">
        <v>47</v>
      </c>
      <c r="AF244">
        <f>IF(AND(Data_Analyst_Intern_Nikhil_Kumar_February2026[[#This Row],[Status]]="Delivered",Data_Analyst_Intern_Nikhil_Kumar_February2026[[#This Row],[Return?]]="Yes"),1,0)</f>
        <v>1</v>
      </c>
      <c r="AG244" t="s">
        <v>48</v>
      </c>
      <c r="AH244" s="1">
        <v>45667</v>
      </c>
      <c r="AI244" t="s">
        <v>106</v>
      </c>
    </row>
    <row r="245" spans="1:35" x14ac:dyDescent="0.3">
      <c r="A245" t="s">
        <v>1077</v>
      </c>
      <c r="B245" s="1">
        <v>45631</v>
      </c>
      <c r="C245" s="1" t="str">
        <f>TEXT(Data_Analyst_Intern_Nikhil_Kumar_February2026[[#This Row],[Order Date]], "mmmm")</f>
        <v>December</v>
      </c>
      <c r="D245" s="23">
        <f>WEEKNUM(Data_Analyst_Intern_Nikhil_Kumar_February2026[[#This Row],[Order Date]],2)</f>
        <v>49</v>
      </c>
      <c r="E245" s="23" t="str">
        <f>TEXT(Data_Analyst_Intern_Nikhil_Kumar_February2026[[#This Row],[Order Date]],"dddd")</f>
        <v>Thursday</v>
      </c>
      <c r="F245" s="1">
        <v>45628</v>
      </c>
      <c r="G245" s="23" t="str">
        <f>TEXT(WEEKDAY(Data_Analyst_Intern_Nikhil_Kumar_February2026[[#This Row],[Order Date]],2), "dddd")</f>
        <v>Wednesday</v>
      </c>
      <c r="H245" t="s">
        <v>1078</v>
      </c>
      <c r="I245" t="s">
        <v>25</v>
      </c>
      <c r="J245" t="s">
        <v>369</v>
      </c>
      <c r="K245" t="s">
        <v>72</v>
      </c>
      <c r="L245" t="s">
        <v>1079</v>
      </c>
      <c r="M245" s="2">
        <v>1799</v>
      </c>
      <c r="N245">
        <v>1</v>
      </c>
      <c r="O245" s="2">
        <v>1799</v>
      </c>
      <c r="P245" t="s">
        <v>29</v>
      </c>
      <c r="Q245">
        <v>0</v>
      </c>
      <c r="R245" s="4">
        <f>IFERROR(Data_Analyst_Intern_Nikhil_Kumar_February2026[[#This Row],[Total]]/Data_Analyst_Intern_Nikhil_Kumar_February2026[[#This Row],[Discount(%)]],0)</f>
        <v>0</v>
      </c>
      <c r="S245" s="2">
        <f>Data_Analyst_Intern_Nikhil_Kumar_February2026[[#This Row],[Total]]-Data_Analyst_Intern_Nikhil_Kumar_February2026[[#This Row],[Discount Amount]]</f>
        <v>1799</v>
      </c>
      <c r="T245" t="s">
        <v>30</v>
      </c>
      <c r="U245" t="s">
        <v>31</v>
      </c>
      <c r="V245" t="s">
        <v>78</v>
      </c>
      <c r="W245" t="s">
        <v>79</v>
      </c>
      <c r="X245" t="s">
        <v>57</v>
      </c>
      <c r="Y245" s="1">
        <v>45642</v>
      </c>
      <c r="Z245" s="3">
        <f>Data_Analyst_Intern_Nikhil_Kumar_February2026[[#This Row],[Del Date]]-Data_Analyst_Intern_Nikhil_Kumar_February2026[[#This Row],[Order Date]]</f>
        <v>11</v>
      </c>
      <c r="AA245" s="3" t="str" cm="1">
        <f t="array" ref="AA245">_xlfn.IFS(Data_Analyst_Intern_Nikhil_Kumar_February2026[[#This Row],[Del Days]]&lt;=7,"Fast",Data_Analyst_Intern_Nikhil_Kumar_February2026[[#This Row],[Del Days]]&lt;=15,"Standard",Data_Analyst_Intern_Nikhil_Kumar_February2026[[#This Row],[Del Days]]&gt;15,"Slow")</f>
        <v>Standard</v>
      </c>
      <c r="AB245" t="s">
        <v>34</v>
      </c>
      <c r="AC245">
        <f>IF(Data_Analyst_Intern_Nikhil_Kumar_February2026[[#This Row],[Status]]="RTO", 1,0)</f>
        <v>0</v>
      </c>
      <c r="AD245">
        <f>IF(Data_Analyst_Intern_Nikhil_Kumar_February2026[[#This Row],[Status]]="Delivered",1,0)</f>
        <v>1</v>
      </c>
      <c r="AE245" t="s">
        <v>35</v>
      </c>
      <c r="AF245">
        <f>IF(AND(Data_Analyst_Intern_Nikhil_Kumar_February2026[[#This Row],[Status]]="Delivered",Data_Analyst_Intern_Nikhil_Kumar_February2026[[#This Row],[Return?]]="Yes"),1,0)</f>
        <v>0</v>
      </c>
      <c r="AG245" t="s">
        <v>29</v>
      </c>
      <c r="AI245" t="s">
        <v>36</v>
      </c>
    </row>
    <row r="246" spans="1:35" x14ac:dyDescent="0.3">
      <c r="A246" t="s">
        <v>1080</v>
      </c>
      <c r="B246" s="1">
        <v>45631</v>
      </c>
      <c r="C246" s="1" t="str">
        <f>TEXT(Data_Analyst_Intern_Nikhil_Kumar_February2026[[#This Row],[Order Date]], "mmmm")</f>
        <v>December</v>
      </c>
      <c r="D246" s="23">
        <f>WEEKNUM(Data_Analyst_Intern_Nikhil_Kumar_February2026[[#This Row],[Order Date]],2)</f>
        <v>49</v>
      </c>
      <c r="E246" s="23" t="str">
        <f>TEXT(Data_Analyst_Intern_Nikhil_Kumar_February2026[[#This Row],[Order Date]],"dddd")</f>
        <v>Thursday</v>
      </c>
      <c r="F246" s="1">
        <v>45628</v>
      </c>
      <c r="G246" s="23" t="str">
        <f>TEXT(WEEKDAY(Data_Analyst_Intern_Nikhil_Kumar_February2026[[#This Row],[Order Date]],2), "dddd")</f>
        <v>Wednesday</v>
      </c>
      <c r="H246" t="s">
        <v>1081</v>
      </c>
      <c r="I246" t="s">
        <v>25</v>
      </c>
      <c r="J246" t="s">
        <v>1082</v>
      </c>
      <c r="K246" t="s">
        <v>27</v>
      </c>
      <c r="L246" t="s">
        <v>1083</v>
      </c>
      <c r="M246" s="2">
        <v>2199</v>
      </c>
      <c r="N246">
        <v>1</v>
      </c>
      <c r="O246" s="2">
        <v>2199</v>
      </c>
      <c r="P246" t="s">
        <v>29</v>
      </c>
      <c r="Q246">
        <v>0</v>
      </c>
      <c r="R246" s="4">
        <f>IFERROR(Data_Analyst_Intern_Nikhil_Kumar_February2026[[#This Row],[Total]]/Data_Analyst_Intern_Nikhil_Kumar_February2026[[#This Row],[Discount(%)]],0)</f>
        <v>0</v>
      </c>
      <c r="S246" s="2">
        <f>Data_Analyst_Intern_Nikhil_Kumar_February2026[[#This Row],[Total]]-Data_Analyst_Intern_Nikhil_Kumar_February2026[[#This Row],[Discount Amount]]</f>
        <v>2199</v>
      </c>
      <c r="T246" t="s">
        <v>65</v>
      </c>
      <c r="U246" t="s">
        <v>45</v>
      </c>
      <c r="V246" t="s">
        <v>67</v>
      </c>
      <c r="W246" t="s">
        <v>68</v>
      </c>
      <c r="X246" t="s">
        <v>57</v>
      </c>
      <c r="Y246" s="1">
        <v>45642</v>
      </c>
      <c r="Z246" s="3">
        <f>Data_Analyst_Intern_Nikhil_Kumar_February2026[[#This Row],[Del Date]]-Data_Analyst_Intern_Nikhil_Kumar_February2026[[#This Row],[Order Date]]</f>
        <v>11</v>
      </c>
      <c r="AA246" s="3" t="str" cm="1">
        <f t="array" ref="AA246">_xlfn.IFS(Data_Analyst_Intern_Nikhil_Kumar_February2026[[#This Row],[Del Days]]&lt;=7,"Fast",Data_Analyst_Intern_Nikhil_Kumar_February2026[[#This Row],[Del Days]]&lt;=15,"Standard",Data_Analyst_Intern_Nikhil_Kumar_February2026[[#This Row],[Del Days]]&gt;15,"Slow")</f>
        <v>Standard</v>
      </c>
      <c r="AB246" t="s">
        <v>34</v>
      </c>
      <c r="AC246">
        <f>IF(Data_Analyst_Intern_Nikhil_Kumar_February2026[[#This Row],[Status]]="RTO", 1,0)</f>
        <v>0</v>
      </c>
      <c r="AD246">
        <f>IF(Data_Analyst_Intern_Nikhil_Kumar_February2026[[#This Row],[Status]]="Delivered",1,0)</f>
        <v>1</v>
      </c>
      <c r="AE246" t="s">
        <v>35</v>
      </c>
      <c r="AF246">
        <f>IF(AND(Data_Analyst_Intern_Nikhil_Kumar_February2026[[#This Row],[Status]]="Delivered",Data_Analyst_Intern_Nikhil_Kumar_February2026[[#This Row],[Return?]]="Yes"),1,0)</f>
        <v>0</v>
      </c>
      <c r="AG246" t="s">
        <v>29</v>
      </c>
      <c r="AI246" t="s">
        <v>36</v>
      </c>
    </row>
    <row r="247" spans="1:35" x14ac:dyDescent="0.3">
      <c r="A247" t="s">
        <v>1084</v>
      </c>
      <c r="B247" s="1">
        <v>45632</v>
      </c>
      <c r="C247" s="1" t="str">
        <f>TEXT(Data_Analyst_Intern_Nikhil_Kumar_February2026[[#This Row],[Order Date]], "mmmm")</f>
        <v>December</v>
      </c>
      <c r="D247" s="23">
        <f>WEEKNUM(Data_Analyst_Intern_Nikhil_Kumar_February2026[[#This Row],[Order Date]],2)</f>
        <v>49</v>
      </c>
      <c r="E247" s="23" t="str">
        <f>TEXT(Data_Analyst_Intern_Nikhil_Kumar_February2026[[#This Row],[Order Date]],"dddd")</f>
        <v>Friday</v>
      </c>
      <c r="F247" s="1">
        <v>45628</v>
      </c>
      <c r="G247" s="23" t="str">
        <f>TEXT(WEEKDAY(Data_Analyst_Intern_Nikhil_Kumar_February2026[[#This Row],[Order Date]],2), "dddd")</f>
        <v>Thursday</v>
      </c>
      <c r="H247" t="s">
        <v>1085</v>
      </c>
      <c r="I247" t="s">
        <v>25</v>
      </c>
      <c r="J247" t="s">
        <v>1086</v>
      </c>
      <c r="K247" t="s">
        <v>41</v>
      </c>
      <c r="L247" t="s">
        <v>1087</v>
      </c>
      <c r="M247" s="2">
        <v>3799</v>
      </c>
      <c r="N247">
        <v>1</v>
      </c>
      <c r="O247" s="2">
        <v>3799</v>
      </c>
      <c r="P247" t="s">
        <v>995</v>
      </c>
      <c r="Q247">
        <v>20</v>
      </c>
      <c r="R247" s="4">
        <f>IFERROR(Data_Analyst_Intern_Nikhil_Kumar_February2026[[#This Row],[Total]]/Data_Analyst_Intern_Nikhil_Kumar_February2026[[#This Row],[Discount(%)]],0)</f>
        <v>189.95</v>
      </c>
      <c r="S247" s="2">
        <f>Data_Analyst_Intern_Nikhil_Kumar_February2026[[#This Row],[Total]]-Data_Analyst_Intern_Nikhil_Kumar_February2026[[#This Row],[Discount Amount]]</f>
        <v>3609.05</v>
      </c>
      <c r="T247" t="s">
        <v>56</v>
      </c>
      <c r="U247" t="s">
        <v>66</v>
      </c>
      <c r="V247" t="s">
        <v>85</v>
      </c>
      <c r="W247" t="s">
        <v>33</v>
      </c>
      <c r="X247" t="s">
        <v>32</v>
      </c>
      <c r="Y247" s="1">
        <v>45644</v>
      </c>
      <c r="Z247" s="3">
        <f>Data_Analyst_Intern_Nikhil_Kumar_February2026[[#This Row],[Del Date]]-Data_Analyst_Intern_Nikhil_Kumar_February2026[[#This Row],[Order Date]]</f>
        <v>12</v>
      </c>
      <c r="AA247" s="3" t="str" cm="1">
        <f t="array" ref="AA247">_xlfn.IFS(Data_Analyst_Intern_Nikhil_Kumar_February2026[[#This Row],[Del Days]]&lt;=7,"Fast",Data_Analyst_Intern_Nikhil_Kumar_February2026[[#This Row],[Del Days]]&lt;=15,"Standard",Data_Analyst_Intern_Nikhil_Kumar_February2026[[#This Row],[Del Days]]&gt;15,"Slow")</f>
        <v>Standard</v>
      </c>
      <c r="AB247" t="s">
        <v>34</v>
      </c>
      <c r="AC247">
        <f>IF(Data_Analyst_Intern_Nikhil_Kumar_February2026[[#This Row],[Status]]="RTO", 1,0)</f>
        <v>0</v>
      </c>
      <c r="AD247">
        <f>IF(Data_Analyst_Intern_Nikhil_Kumar_February2026[[#This Row],[Status]]="Delivered",1,0)</f>
        <v>1</v>
      </c>
      <c r="AE247" t="s">
        <v>47</v>
      </c>
      <c r="AF247">
        <f>IF(AND(Data_Analyst_Intern_Nikhil_Kumar_February2026[[#This Row],[Status]]="Delivered",Data_Analyst_Intern_Nikhil_Kumar_February2026[[#This Row],[Return?]]="Yes"),1,0)</f>
        <v>1</v>
      </c>
      <c r="AG247" t="s">
        <v>69</v>
      </c>
      <c r="AH247" s="1">
        <v>45669</v>
      </c>
      <c r="AI247" t="s">
        <v>49</v>
      </c>
    </row>
    <row r="248" spans="1:35" x14ac:dyDescent="0.3">
      <c r="A248" t="s">
        <v>1088</v>
      </c>
      <c r="B248" s="1">
        <v>45632</v>
      </c>
      <c r="C248" s="1" t="str">
        <f>TEXT(Data_Analyst_Intern_Nikhil_Kumar_February2026[[#This Row],[Order Date]], "mmmm")</f>
        <v>December</v>
      </c>
      <c r="D248" s="23">
        <f>WEEKNUM(Data_Analyst_Intern_Nikhil_Kumar_February2026[[#This Row],[Order Date]],2)</f>
        <v>49</v>
      </c>
      <c r="E248" s="23" t="str">
        <f>TEXT(Data_Analyst_Intern_Nikhil_Kumar_February2026[[#This Row],[Order Date]],"dddd")</f>
        <v>Friday</v>
      </c>
      <c r="F248" s="1">
        <v>45628</v>
      </c>
      <c r="G248" s="23" t="str">
        <f>TEXT(WEEKDAY(Data_Analyst_Intern_Nikhil_Kumar_February2026[[#This Row],[Order Date]],2), "dddd")</f>
        <v>Thursday</v>
      </c>
      <c r="H248" t="s">
        <v>1089</v>
      </c>
      <c r="I248" t="s">
        <v>25</v>
      </c>
      <c r="J248" t="s">
        <v>1090</v>
      </c>
      <c r="K248" t="s">
        <v>54</v>
      </c>
      <c r="L248" t="s">
        <v>1091</v>
      </c>
      <c r="M248" s="2">
        <v>2899</v>
      </c>
      <c r="N248">
        <v>1</v>
      </c>
      <c r="O248" s="2">
        <v>2899</v>
      </c>
      <c r="P248" t="s">
        <v>29</v>
      </c>
      <c r="Q248">
        <v>0</v>
      </c>
      <c r="R248" s="4">
        <f>IFERROR(Data_Analyst_Intern_Nikhil_Kumar_February2026[[#This Row],[Total]]/Data_Analyst_Intern_Nikhil_Kumar_February2026[[#This Row],[Discount(%)]],0)</f>
        <v>0</v>
      </c>
      <c r="S248" s="2">
        <f>Data_Analyst_Intern_Nikhil_Kumar_February2026[[#This Row],[Total]]-Data_Analyst_Intern_Nikhil_Kumar_February2026[[#This Row],[Discount Amount]]</f>
        <v>2899</v>
      </c>
      <c r="T248" t="s">
        <v>44</v>
      </c>
      <c r="U248" t="s">
        <v>31</v>
      </c>
      <c r="V248" t="s">
        <v>91</v>
      </c>
      <c r="W248" t="s">
        <v>92</v>
      </c>
      <c r="X248" t="s">
        <v>46</v>
      </c>
      <c r="Y248" s="1">
        <v>45644</v>
      </c>
      <c r="Z248" s="3">
        <f>Data_Analyst_Intern_Nikhil_Kumar_February2026[[#This Row],[Del Date]]-Data_Analyst_Intern_Nikhil_Kumar_February2026[[#This Row],[Order Date]]</f>
        <v>12</v>
      </c>
      <c r="AA248" s="3" t="str" cm="1">
        <f t="array" ref="AA248">_xlfn.IFS(Data_Analyst_Intern_Nikhil_Kumar_February2026[[#This Row],[Del Days]]&lt;=7,"Fast",Data_Analyst_Intern_Nikhil_Kumar_February2026[[#This Row],[Del Days]]&lt;=15,"Standard",Data_Analyst_Intern_Nikhil_Kumar_February2026[[#This Row],[Del Days]]&gt;15,"Slow")</f>
        <v>Standard</v>
      </c>
      <c r="AB248" t="s">
        <v>34</v>
      </c>
      <c r="AC248">
        <f>IF(Data_Analyst_Intern_Nikhil_Kumar_February2026[[#This Row],[Status]]="RTO", 1,0)</f>
        <v>0</v>
      </c>
      <c r="AD248">
        <f>IF(Data_Analyst_Intern_Nikhil_Kumar_February2026[[#This Row],[Status]]="Delivered",1,0)</f>
        <v>1</v>
      </c>
      <c r="AE248" t="s">
        <v>35</v>
      </c>
      <c r="AF248">
        <f>IF(AND(Data_Analyst_Intern_Nikhil_Kumar_February2026[[#This Row],[Status]]="Delivered",Data_Analyst_Intern_Nikhil_Kumar_February2026[[#This Row],[Return?]]="Yes"),1,0)</f>
        <v>0</v>
      </c>
      <c r="AG248" t="s">
        <v>29</v>
      </c>
      <c r="AI248" t="s">
        <v>36</v>
      </c>
    </row>
    <row r="249" spans="1:35" x14ac:dyDescent="0.3">
      <c r="A249" t="s">
        <v>1092</v>
      </c>
      <c r="B249" s="1">
        <v>45632</v>
      </c>
      <c r="C249" s="1" t="str">
        <f>TEXT(Data_Analyst_Intern_Nikhil_Kumar_February2026[[#This Row],[Order Date]], "mmmm")</f>
        <v>December</v>
      </c>
      <c r="D249" s="23">
        <f>WEEKNUM(Data_Analyst_Intern_Nikhil_Kumar_February2026[[#This Row],[Order Date]],2)</f>
        <v>49</v>
      </c>
      <c r="E249" s="23" t="str">
        <f>TEXT(Data_Analyst_Intern_Nikhil_Kumar_February2026[[#This Row],[Order Date]],"dddd")</f>
        <v>Friday</v>
      </c>
      <c r="F249" s="1">
        <v>45628</v>
      </c>
      <c r="G249" s="23" t="str">
        <f>TEXT(WEEKDAY(Data_Analyst_Intern_Nikhil_Kumar_February2026[[#This Row],[Order Date]],2), "dddd")</f>
        <v>Thursday</v>
      </c>
      <c r="H249" t="s">
        <v>1093</v>
      </c>
      <c r="I249" t="s">
        <v>39</v>
      </c>
      <c r="J249" t="s">
        <v>503</v>
      </c>
      <c r="K249" t="s">
        <v>62</v>
      </c>
      <c r="L249" t="s">
        <v>1094</v>
      </c>
      <c r="M249" s="2">
        <v>4599</v>
      </c>
      <c r="N249">
        <v>1</v>
      </c>
      <c r="O249" s="2">
        <v>4599</v>
      </c>
      <c r="P249" t="s">
        <v>995</v>
      </c>
      <c r="Q249">
        <v>20</v>
      </c>
      <c r="R249" s="4">
        <f>IFERROR(Data_Analyst_Intern_Nikhil_Kumar_February2026[[#This Row],[Total]]/Data_Analyst_Intern_Nikhil_Kumar_February2026[[#This Row],[Discount(%)]],0)</f>
        <v>229.95</v>
      </c>
      <c r="S249" s="2">
        <f>Data_Analyst_Intern_Nikhil_Kumar_February2026[[#This Row],[Total]]-Data_Analyst_Intern_Nikhil_Kumar_February2026[[#This Row],[Discount Amount]]</f>
        <v>4369.05</v>
      </c>
      <c r="T249" t="s">
        <v>30</v>
      </c>
      <c r="U249" t="s">
        <v>45</v>
      </c>
      <c r="V249" t="s">
        <v>103</v>
      </c>
      <c r="W249" t="s">
        <v>104</v>
      </c>
      <c r="X249" t="s">
        <v>46</v>
      </c>
      <c r="Y249" s="1">
        <v>45645</v>
      </c>
      <c r="Z249" s="3">
        <f>Data_Analyst_Intern_Nikhil_Kumar_February2026[[#This Row],[Del Date]]-Data_Analyst_Intern_Nikhil_Kumar_February2026[[#This Row],[Order Date]]</f>
        <v>13</v>
      </c>
      <c r="AA249" s="3" t="str" cm="1">
        <f t="array" ref="AA249">_xlfn.IFS(Data_Analyst_Intern_Nikhil_Kumar_February2026[[#This Row],[Del Days]]&lt;=7,"Fast",Data_Analyst_Intern_Nikhil_Kumar_February2026[[#This Row],[Del Days]]&lt;=15,"Standard",Data_Analyst_Intern_Nikhil_Kumar_February2026[[#This Row],[Del Days]]&gt;15,"Slow")</f>
        <v>Standard</v>
      </c>
      <c r="AB249" t="s">
        <v>34</v>
      </c>
      <c r="AC249">
        <f>IF(Data_Analyst_Intern_Nikhil_Kumar_February2026[[#This Row],[Status]]="RTO", 1,0)</f>
        <v>0</v>
      </c>
      <c r="AD249">
        <f>IF(Data_Analyst_Intern_Nikhil_Kumar_February2026[[#This Row],[Status]]="Delivered",1,0)</f>
        <v>1</v>
      </c>
      <c r="AE249" t="s">
        <v>47</v>
      </c>
      <c r="AF249">
        <f>IF(AND(Data_Analyst_Intern_Nikhil_Kumar_February2026[[#This Row],[Status]]="Delivered",Data_Analyst_Intern_Nikhil_Kumar_February2026[[#This Row],[Return?]]="Yes"),1,0)</f>
        <v>1</v>
      </c>
      <c r="AG249" t="s">
        <v>48</v>
      </c>
      <c r="AH249" s="1">
        <v>45671</v>
      </c>
      <c r="AI249" t="s">
        <v>49</v>
      </c>
    </row>
    <row r="250" spans="1:35" x14ac:dyDescent="0.3">
      <c r="A250" t="s">
        <v>1095</v>
      </c>
      <c r="B250" s="1">
        <v>45632</v>
      </c>
      <c r="C250" s="1" t="str">
        <f>TEXT(Data_Analyst_Intern_Nikhil_Kumar_February2026[[#This Row],[Order Date]], "mmmm")</f>
        <v>December</v>
      </c>
      <c r="D250" s="23">
        <f>WEEKNUM(Data_Analyst_Intern_Nikhil_Kumar_February2026[[#This Row],[Order Date]],2)</f>
        <v>49</v>
      </c>
      <c r="E250" s="23" t="str">
        <f>TEXT(Data_Analyst_Intern_Nikhil_Kumar_February2026[[#This Row],[Order Date]],"dddd")</f>
        <v>Friday</v>
      </c>
      <c r="F250" s="1">
        <v>45628</v>
      </c>
      <c r="G250" s="23" t="str">
        <f>TEXT(WEEKDAY(Data_Analyst_Intern_Nikhil_Kumar_February2026[[#This Row],[Order Date]],2), "dddd")</f>
        <v>Thursday</v>
      </c>
      <c r="H250" t="s">
        <v>1096</v>
      </c>
      <c r="I250" t="s">
        <v>25</v>
      </c>
      <c r="J250" t="s">
        <v>1097</v>
      </c>
      <c r="K250" t="s">
        <v>72</v>
      </c>
      <c r="L250" t="s">
        <v>1098</v>
      </c>
      <c r="M250" s="2">
        <v>2499</v>
      </c>
      <c r="N250">
        <v>1</v>
      </c>
      <c r="O250" s="2">
        <v>2499</v>
      </c>
      <c r="P250" t="s">
        <v>29</v>
      </c>
      <c r="Q250">
        <v>0</v>
      </c>
      <c r="R250" s="4">
        <f>IFERROR(Data_Analyst_Intern_Nikhil_Kumar_February2026[[#This Row],[Total]]/Data_Analyst_Intern_Nikhil_Kumar_February2026[[#This Row],[Discount(%)]],0)</f>
        <v>0</v>
      </c>
      <c r="S250" s="2">
        <f>Data_Analyst_Intern_Nikhil_Kumar_February2026[[#This Row],[Total]]-Data_Analyst_Intern_Nikhil_Kumar_February2026[[#This Row],[Discount Amount]]</f>
        <v>2499</v>
      </c>
      <c r="T250" t="s">
        <v>112</v>
      </c>
      <c r="U250" t="s">
        <v>66</v>
      </c>
      <c r="V250" t="s">
        <v>113</v>
      </c>
      <c r="W250" t="s">
        <v>114</v>
      </c>
      <c r="X250" t="s">
        <v>46</v>
      </c>
      <c r="Y250" s="1">
        <v>45645</v>
      </c>
      <c r="Z250" s="3">
        <f>Data_Analyst_Intern_Nikhil_Kumar_February2026[[#This Row],[Del Date]]-Data_Analyst_Intern_Nikhil_Kumar_February2026[[#This Row],[Order Date]]</f>
        <v>13</v>
      </c>
      <c r="AA250" s="3" t="str" cm="1">
        <f t="array" ref="AA250">_xlfn.IFS(Data_Analyst_Intern_Nikhil_Kumar_February2026[[#This Row],[Del Days]]&lt;=7,"Fast",Data_Analyst_Intern_Nikhil_Kumar_February2026[[#This Row],[Del Days]]&lt;=15,"Standard",Data_Analyst_Intern_Nikhil_Kumar_February2026[[#This Row],[Del Days]]&gt;15,"Slow")</f>
        <v>Standard</v>
      </c>
      <c r="AB250" t="s">
        <v>34</v>
      </c>
      <c r="AC250">
        <f>IF(Data_Analyst_Intern_Nikhil_Kumar_February2026[[#This Row],[Status]]="RTO", 1,0)</f>
        <v>0</v>
      </c>
      <c r="AD250">
        <f>IF(Data_Analyst_Intern_Nikhil_Kumar_February2026[[#This Row],[Status]]="Delivered",1,0)</f>
        <v>1</v>
      </c>
      <c r="AE250" t="s">
        <v>35</v>
      </c>
      <c r="AF250">
        <f>IF(AND(Data_Analyst_Intern_Nikhil_Kumar_February2026[[#This Row],[Status]]="Delivered",Data_Analyst_Intern_Nikhil_Kumar_February2026[[#This Row],[Return?]]="Yes"),1,0)</f>
        <v>0</v>
      </c>
      <c r="AG250" t="s">
        <v>29</v>
      </c>
      <c r="AI250" t="s">
        <v>36</v>
      </c>
    </row>
    <row r="251" spans="1:35" x14ac:dyDescent="0.3">
      <c r="A251" t="s">
        <v>1099</v>
      </c>
      <c r="B251" s="1">
        <v>45633</v>
      </c>
      <c r="C251" s="1" t="str">
        <f>TEXT(Data_Analyst_Intern_Nikhil_Kumar_February2026[[#This Row],[Order Date]], "mmmm")</f>
        <v>December</v>
      </c>
      <c r="D251" s="23">
        <f>WEEKNUM(Data_Analyst_Intern_Nikhil_Kumar_February2026[[#This Row],[Order Date]],2)</f>
        <v>49</v>
      </c>
      <c r="E251" s="23" t="str">
        <f>TEXT(Data_Analyst_Intern_Nikhil_Kumar_February2026[[#This Row],[Order Date]],"dddd")</f>
        <v>Saturday</v>
      </c>
      <c r="F251" s="1">
        <v>45628</v>
      </c>
      <c r="G251" s="23" t="str">
        <f>TEXT(WEEKDAY(Data_Analyst_Intern_Nikhil_Kumar_February2026[[#This Row],[Order Date]],2), "dddd")</f>
        <v>Friday</v>
      </c>
      <c r="H251" t="s">
        <v>1100</v>
      </c>
      <c r="I251" t="s">
        <v>25</v>
      </c>
      <c r="J251" t="s">
        <v>1101</v>
      </c>
      <c r="K251" t="s">
        <v>27</v>
      </c>
      <c r="L251" t="s">
        <v>1102</v>
      </c>
      <c r="M251" s="2">
        <v>1899</v>
      </c>
      <c r="N251">
        <v>1</v>
      </c>
      <c r="O251" s="2">
        <v>1899</v>
      </c>
      <c r="P251" t="s">
        <v>29</v>
      </c>
      <c r="Q251">
        <v>0</v>
      </c>
      <c r="R251" s="4">
        <f>IFERROR(Data_Analyst_Intern_Nikhil_Kumar_February2026[[#This Row],[Total]]/Data_Analyst_Intern_Nikhil_Kumar_February2026[[#This Row],[Discount(%)]],0)</f>
        <v>0</v>
      </c>
      <c r="S251" s="2">
        <f>Data_Analyst_Intern_Nikhil_Kumar_February2026[[#This Row],[Total]]-Data_Analyst_Intern_Nikhil_Kumar_February2026[[#This Row],[Discount Amount]]</f>
        <v>1899</v>
      </c>
      <c r="T251" t="s">
        <v>65</v>
      </c>
      <c r="U251" t="s">
        <v>31</v>
      </c>
      <c r="V251" t="s">
        <v>1065</v>
      </c>
      <c r="W251" t="s">
        <v>1065</v>
      </c>
      <c r="X251" t="s">
        <v>32</v>
      </c>
      <c r="Y251" s="1"/>
      <c r="Z251" s="1">
        <f>Data_Analyst_Intern_Nikhil_Kumar_February2026[[#This Row],[Del Date]]-Data_Analyst_Intern_Nikhil_Kumar_February2026[[#This Row],[Order Date]]</f>
        <v>-45633</v>
      </c>
      <c r="AA251" s="1" t="str" cm="1">
        <f t="array" ref="AA251">_xlfn.IFS(Data_Analyst_Intern_Nikhil_Kumar_February2026[[#This Row],[Del Days]]&lt;=7,"Fast",Data_Analyst_Intern_Nikhil_Kumar_February2026[[#This Row],[Del Days]]&lt;=15,"Standard",Data_Analyst_Intern_Nikhil_Kumar_February2026[[#This Row],[Del Days]]&gt;15,"Slow")</f>
        <v>Fast</v>
      </c>
      <c r="AB251" t="s">
        <v>121</v>
      </c>
      <c r="AC251">
        <f>IF(Data_Analyst_Intern_Nikhil_Kumar_February2026[[#This Row],[Status]]="RTO", 1,0)</f>
        <v>1</v>
      </c>
      <c r="AD251">
        <f>IF(Data_Analyst_Intern_Nikhil_Kumar_February2026[[#This Row],[Status]]="Delivered",1,0)</f>
        <v>0</v>
      </c>
      <c r="AE251" t="s">
        <v>35</v>
      </c>
      <c r="AF251">
        <f>IF(AND(Data_Analyst_Intern_Nikhil_Kumar_February2026[[#This Row],[Status]]="Delivered",Data_Analyst_Intern_Nikhil_Kumar_February2026[[#This Row],[Return?]]="Yes"),1,0)</f>
        <v>0</v>
      </c>
      <c r="AG251" t="s">
        <v>29</v>
      </c>
      <c r="AI251" t="s">
        <v>36</v>
      </c>
    </row>
    <row r="252" spans="1:35" x14ac:dyDescent="0.3">
      <c r="A252" t="s">
        <v>1103</v>
      </c>
      <c r="B252" s="1">
        <v>45633</v>
      </c>
      <c r="C252" s="1" t="str">
        <f>TEXT(Data_Analyst_Intern_Nikhil_Kumar_February2026[[#This Row],[Order Date]], "mmmm")</f>
        <v>December</v>
      </c>
      <c r="D252" s="23">
        <f>WEEKNUM(Data_Analyst_Intern_Nikhil_Kumar_February2026[[#This Row],[Order Date]],2)</f>
        <v>49</v>
      </c>
      <c r="E252" s="23" t="str">
        <f>TEXT(Data_Analyst_Intern_Nikhil_Kumar_February2026[[#This Row],[Order Date]],"dddd")</f>
        <v>Saturday</v>
      </c>
      <c r="F252" s="1">
        <v>45628</v>
      </c>
      <c r="G252" s="23" t="str">
        <f>TEXT(WEEKDAY(Data_Analyst_Intern_Nikhil_Kumar_February2026[[#This Row],[Order Date]],2), "dddd")</f>
        <v>Friday</v>
      </c>
      <c r="H252" t="s">
        <v>1104</v>
      </c>
      <c r="I252" t="s">
        <v>25</v>
      </c>
      <c r="J252" t="s">
        <v>1105</v>
      </c>
      <c r="K252" t="s">
        <v>41</v>
      </c>
      <c r="L252" t="s">
        <v>938</v>
      </c>
      <c r="M252" s="2">
        <v>3299</v>
      </c>
      <c r="N252">
        <v>1</v>
      </c>
      <c r="O252" s="2">
        <v>3299</v>
      </c>
      <c r="P252" t="s">
        <v>995</v>
      </c>
      <c r="Q252">
        <v>20</v>
      </c>
      <c r="R252" s="4">
        <f>IFERROR(Data_Analyst_Intern_Nikhil_Kumar_February2026[[#This Row],[Total]]/Data_Analyst_Intern_Nikhil_Kumar_February2026[[#This Row],[Discount(%)]],0)</f>
        <v>164.95</v>
      </c>
      <c r="S252" s="2">
        <f>Data_Analyst_Intern_Nikhil_Kumar_February2026[[#This Row],[Total]]-Data_Analyst_Intern_Nikhil_Kumar_February2026[[#This Row],[Discount Amount]]</f>
        <v>3134.05</v>
      </c>
      <c r="T252" t="s">
        <v>44</v>
      </c>
      <c r="U252" t="s">
        <v>45</v>
      </c>
      <c r="V252" t="s">
        <v>32</v>
      </c>
      <c r="W252" t="s">
        <v>33</v>
      </c>
      <c r="X252" t="s">
        <v>32</v>
      </c>
      <c r="Y252" s="1">
        <v>45646</v>
      </c>
      <c r="Z252" s="3">
        <f>Data_Analyst_Intern_Nikhil_Kumar_February2026[[#This Row],[Del Date]]-Data_Analyst_Intern_Nikhil_Kumar_February2026[[#This Row],[Order Date]]</f>
        <v>13</v>
      </c>
      <c r="AA252" s="3" t="str" cm="1">
        <f t="array" ref="AA252">_xlfn.IFS(Data_Analyst_Intern_Nikhil_Kumar_February2026[[#This Row],[Del Days]]&lt;=7,"Fast",Data_Analyst_Intern_Nikhil_Kumar_February2026[[#This Row],[Del Days]]&lt;=15,"Standard",Data_Analyst_Intern_Nikhil_Kumar_February2026[[#This Row],[Del Days]]&gt;15,"Slow")</f>
        <v>Standard</v>
      </c>
      <c r="AB252" t="s">
        <v>34</v>
      </c>
      <c r="AC252">
        <f>IF(Data_Analyst_Intern_Nikhil_Kumar_February2026[[#This Row],[Status]]="RTO", 1,0)</f>
        <v>0</v>
      </c>
      <c r="AD252">
        <f>IF(Data_Analyst_Intern_Nikhil_Kumar_February2026[[#This Row],[Status]]="Delivered",1,0)</f>
        <v>1</v>
      </c>
      <c r="AE252" t="s">
        <v>35</v>
      </c>
      <c r="AF252">
        <f>IF(AND(Data_Analyst_Intern_Nikhil_Kumar_February2026[[#This Row],[Status]]="Delivered",Data_Analyst_Intern_Nikhil_Kumar_February2026[[#This Row],[Return?]]="Yes"),1,0)</f>
        <v>0</v>
      </c>
      <c r="AG252" t="s">
        <v>29</v>
      </c>
      <c r="AI252" t="s">
        <v>36</v>
      </c>
    </row>
    <row r="253" spans="1:35" x14ac:dyDescent="0.3">
      <c r="A253" t="s">
        <v>1106</v>
      </c>
      <c r="B253" s="1">
        <v>45633</v>
      </c>
      <c r="C253" s="1" t="str">
        <f>TEXT(Data_Analyst_Intern_Nikhil_Kumar_February2026[[#This Row],[Order Date]], "mmmm")</f>
        <v>December</v>
      </c>
      <c r="D253" s="23">
        <f>WEEKNUM(Data_Analyst_Intern_Nikhil_Kumar_February2026[[#This Row],[Order Date]],2)</f>
        <v>49</v>
      </c>
      <c r="E253" s="23" t="str">
        <f>TEXT(Data_Analyst_Intern_Nikhil_Kumar_February2026[[#This Row],[Order Date]],"dddd")</f>
        <v>Saturday</v>
      </c>
      <c r="F253" s="1">
        <v>45628</v>
      </c>
      <c r="G253" s="23" t="str">
        <f>TEXT(WEEKDAY(Data_Analyst_Intern_Nikhil_Kumar_February2026[[#This Row],[Order Date]],2), "dddd")</f>
        <v>Friday</v>
      </c>
      <c r="H253" t="s">
        <v>1107</v>
      </c>
      <c r="I253" t="s">
        <v>25</v>
      </c>
      <c r="J253" t="s">
        <v>1108</v>
      </c>
      <c r="K253" t="s">
        <v>54</v>
      </c>
      <c r="L253" t="s">
        <v>942</v>
      </c>
      <c r="M253" s="2">
        <v>2199</v>
      </c>
      <c r="N253">
        <v>1</v>
      </c>
      <c r="O253" s="2">
        <v>2199</v>
      </c>
      <c r="P253" t="s">
        <v>29</v>
      </c>
      <c r="Q253">
        <v>0</v>
      </c>
      <c r="R253" s="4">
        <f>IFERROR(Data_Analyst_Intern_Nikhil_Kumar_February2026[[#This Row],[Total]]/Data_Analyst_Intern_Nikhil_Kumar_February2026[[#This Row],[Discount(%)]],0)</f>
        <v>0</v>
      </c>
      <c r="S253" s="2">
        <f>Data_Analyst_Intern_Nikhil_Kumar_February2026[[#This Row],[Total]]-Data_Analyst_Intern_Nikhil_Kumar_February2026[[#This Row],[Discount Amount]]</f>
        <v>2199</v>
      </c>
      <c r="T253" t="s">
        <v>56</v>
      </c>
      <c r="U253" t="s">
        <v>66</v>
      </c>
      <c r="V253" t="s">
        <v>46</v>
      </c>
      <c r="W253" t="s">
        <v>46</v>
      </c>
      <c r="X253" t="s">
        <v>46</v>
      </c>
      <c r="Y253" s="1">
        <v>45647</v>
      </c>
      <c r="Z253" s="3">
        <f>Data_Analyst_Intern_Nikhil_Kumar_February2026[[#This Row],[Del Date]]-Data_Analyst_Intern_Nikhil_Kumar_February2026[[#This Row],[Order Date]]</f>
        <v>14</v>
      </c>
      <c r="AA253" s="3" t="str" cm="1">
        <f t="array" ref="AA253">_xlfn.IFS(Data_Analyst_Intern_Nikhil_Kumar_February2026[[#This Row],[Del Days]]&lt;=7,"Fast",Data_Analyst_Intern_Nikhil_Kumar_February2026[[#This Row],[Del Days]]&lt;=15,"Standard",Data_Analyst_Intern_Nikhil_Kumar_February2026[[#This Row],[Del Days]]&gt;15,"Slow")</f>
        <v>Standard</v>
      </c>
      <c r="AB253" t="s">
        <v>34</v>
      </c>
      <c r="AC253">
        <f>IF(Data_Analyst_Intern_Nikhil_Kumar_February2026[[#This Row],[Status]]="RTO", 1,0)</f>
        <v>0</v>
      </c>
      <c r="AD253">
        <f>IF(Data_Analyst_Intern_Nikhil_Kumar_February2026[[#This Row],[Status]]="Delivered",1,0)</f>
        <v>1</v>
      </c>
      <c r="AE253" t="s">
        <v>47</v>
      </c>
      <c r="AF253">
        <f>IF(AND(Data_Analyst_Intern_Nikhil_Kumar_February2026[[#This Row],[Status]]="Delivered",Data_Analyst_Intern_Nikhil_Kumar_February2026[[#This Row],[Return?]]="Yes"),1,0)</f>
        <v>1</v>
      </c>
      <c r="AG253" t="s">
        <v>139</v>
      </c>
      <c r="AH253" s="1">
        <v>45672</v>
      </c>
      <c r="AI253" t="s">
        <v>106</v>
      </c>
    </row>
    <row r="254" spans="1:35" x14ac:dyDescent="0.3">
      <c r="A254" t="s">
        <v>1109</v>
      </c>
      <c r="B254" s="1">
        <v>45633</v>
      </c>
      <c r="C254" s="1" t="str">
        <f>TEXT(Data_Analyst_Intern_Nikhil_Kumar_February2026[[#This Row],[Order Date]], "mmmm")</f>
        <v>December</v>
      </c>
      <c r="D254" s="23">
        <f>WEEKNUM(Data_Analyst_Intern_Nikhil_Kumar_February2026[[#This Row],[Order Date]],2)</f>
        <v>49</v>
      </c>
      <c r="E254" s="23" t="str">
        <f>TEXT(Data_Analyst_Intern_Nikhil_Kumar_February2026[[#This Row],[Order Date]],"dddd")</f>
        <v>Saturday</v>
      </c>
      <c r="F254" s="1">
        <v>45628</v>
      </c>
      <c r="G254" s="23" t="str">
        <f>TEXT(WEEKDAY(Data_Analyst_Intern_Nikhil_Kumar_February2026[[#This Row],[Order Date]],2), "dddd")</f>
        <v>Friday</v>
      </c>
      <c r="H254" t="s">
        <v>1110</v>
      </c>
      <c r="I254" t="s">
        <v>39</v>
      </c>
      <c r="J254" t="s">
        <v>1111</v>
      </c>
      <c r="K254" t="s">
        <v>62</v>
      </c>
      <c r="L254" t="s">
        <v>1112</v>
      </c>
      <c r="M254" s="2">
        <v>5499</v>
      </c>
      <c r="N254">
        <v>1</v>
      </c>
      <c r="O254" s="2">
        <v>5499</v>
      </c>
      <c r="P254" t="s">
        <v>995</v>
      </c>
      <c r="Q254">
        <v>20</v>
      </c>
      <c r="R254" s="4">
        <f>IFERROR(Data_Analyst_Intern_Nikhil_Kumar_February2026[[#This Row],[Total]]/Data_Analyst_Intern_Nikhil_Kumar_February2026[[#This Row],[Discount(%)]],0)</f>
        <v>274.95</v>
      </c>
      <c r="S254" s="2">
        <f>Data_Analyst_Intern_Nikhil_Kumar_February2026[[#This Row],[Total]]-Data_Analyst_Intern_Nikhil_Kumar_February2026[[#This Row],[Discount Amount]]</f>
        <v>5224.05</v>
      </c>
      <c r="T254" t="s">
        <v>30</v>
      </c>
      <c r="U254" t="s">
        <v>31</v>
      </c>
      <c r="V254" t="s">
        <v>57</v>
      </c>
      <c r="W254" t="s">
        <v>58</v>
      </c>
      <c r="X254" t="s">
        <v>57</v>
      </c>
      <c r="Y254" s="1">
        <v>45647</v>
      </c>
      <c r="Z254" s="3">
        <f>Data_Analyst_Intern_Nikhil_Kumar_February2026[[#This Row],[Del Date]]-Data_Analyst_Intern_Nikhil_Kumar_February2026[[#This Row],[Order Date]]</f>
        <v>14</v>
      </c>
      <c r="AA254" s="3" t="str" cm="1">
        <f t="array" ref="AA254">_xlfn.IFS(Data_Analyst_Intern_Nikhil_Kumar_February2026[[#This Row],[Del Days]]&lt;=7,"Fast",Data_Analyst_Intern_Nikhil_Kumar_February2026[[#This Row],[Del Days]]&lt;=15,"Standard",Data_Analyst_Intern_Nikhil_Kumar_February2026[[#This Row],[Del Days]]&gt;15,"Slow")</f>
        <v>Standard</v>
      </c>
      <c r="AB254" t="s">
        <v>34</v>
      </c>
      <c r="AC254">
        <f>IF(Data_Analyst_Intern_Nikhil_Kumar_February2026[[#This Row],[Status]]="RTO", 1,0)</f>
        <v>0</v>
      </c>
      <c r="AD254">
        <f>IF(Data_Analyst_Intern_Nikhil_Kumar_February2026[[#This Row],[Status]]="Delivered",1,0)</f>
        <v>1</v>
      </c>
      <c r="AE254" t="s">
        <v>35</v>
      </c>
      <c r="AF254">
        <f>IF(AND(Data_Analyst_Intern_Nikhil_Kumar_February2026[[#This Row],[Status]]="Delivered",Data_Analyst_Intern_Nikhil_Kumar_February2026[[#This Row],[Return?]]="Yes"),1,0)</f>
        <v>0</v>
      </c>
      <c r="AG254" t="s">
        <v>29</v>
      </c>
      <c r="AI254" t="s">
        <v>36</v>
      </c>
    </row>
    <row r="255" spans="1:35" x14ac:dyDescent="0.3">
      <c r="A255" t="s">
        <v>1113</v>
      </c>
      <c r="B255" s="1">
        <v>45634</v>
      </c>
      <c r="C255" s="1" t="str">
        <f>TEXT(Data_Analyst_Intern_Nikhil_Kumar_February2026[[#This Row],[Order Date]], "mmmm")</f>
        <v>December</v>
      </c>
      <c r="D255" s="23">
        <f>WEEKNUM(Data_Analyst_Intern_Nikhil_Kumar_February2026[[#This Row],[Order Date]],2)</f>
        <v>49</v>
      </c>
      <c r="E255" s="23" t="str">
        <f>TEXT(Data_Analyst_Intern_Nikhil_Kumar_February2026[[#This Row],[Order Date]],"dddd")</f>
        <v>Sunday</v>
      </c>
      <c r="F255" s="1">
        <v>45628</v>
      </c>
      <c r="G255" s="23" t="str">
        <f>TEXT(WEEKDAY(Data_Analyst_Intern_Nikhil_Kumar_February2026[[#This Row],[Order Date]],2), "dddd")</f>
        <v>Saturday</v>
      </c>
      <c r="H255" t="s">
        <v>1114</v>
      </c>
      <c r="I255" t="s">
        <v>25</v>
      </c>
      <c r="J255" t="s">
        <v>1115</v>
      </c>
      <c r="K255" t="s">
        <v>72</v>
      </c>
      <c r="L255" t="s">
        <v>1116</v>
      </c>
      <c r="M255" s="2">
        <v>999</v>
      </c>
      <c r="N255">
        <v>1</v>
      </c>
      <c r="O255" s="2">
        <v>999</v>
      </c>
      <c r="P255" t="s">
        <v>29</v>
      </c>
      <c r="Q255">
        <v>0</v>
      </c>
      <c r="R255" s="4">
        <f>IFERROR(Data_Analyst_Intern_Nikhil_Kumar_February2026[[#This Row],[Total]]/Data_Analyst_Intern_Nikhil_Kumar_February2026[[#This Row],[Discount(%)]],0)</f>
        <v>0</v>
      </c>
      <c r="S255" s="2">
        <f>Data_Analyst_Intern_Nikhil_Kumar_February2026[[#This Row],[Total]]-Data_Analyst_Intern_Nikhil_Kumar_February2026[[#This Row],[Discount Amount]]</f>
        <v>999</v>
      </c>
      <c r="T255" t="s">
        <v>112</v>
      </c>
      <c r="U255" t="s">
        <v>45</v>
      </c>
      <c r="V255" t="s">
        <v>97</v>
      </c>
      <c r="W255" t="s">
        <v>98</v>
      </c>
      <c r="X255" t="s">
        <v>32</v>
      </c>
      <c r="Y255" s="1">
        <v>45648</v>
      </c>
      <c r="Z255" s="3">
        <f>Data_Analyst_Intern_Nikhil_Kumar_February2026[[#This Row],[Del Date]]-Data_Analyst_Intern_Nikhil_Kumar_February2026[[#This Row],[Order Date]]</f>
        <v>14</v>
      </c>
      <c r="AA255" s="3" t="str" cm="1">
        <f t="array" ref="AA255">_xlfn.IFS(Data_Analyst_Intern_Nikhil_Kumar_February2026[[#This Row],[Del Days]]&lt;=7,"Fast",Data_Analyst_Intern_Nikhil_Kumar_February2026[[#This Row],[Del Days]]&lt;=15,"Standard",Data_Analyst_Intern_Nikhil_Kumar_February2026[[#This Row],[Del Days]]&gt;15,"Slow")</f>
        <v>Standard</v>
      </c>
      <c r="AB255" t="s">
        <v>34</v>
      </c>
      <c r="AC255">
        <f>IF(Data_Analyst_Intern_Nikhil_Kumar_February2026[[#This Row],[Status]]="RTO", 1,0)</f>
        <v>0</v>
      </c>
      <c r="AD255">
        <f>IF(Data_Analyst_Intern_Nikhil_Kumar_February2026[[#This Row],[Status]]="Delivered",1,0)</f>
        <v>1</v>
      </c>
      <c r="AE255" t="s">
        <v>35</v>
      </c>
      <c r="AF255">
        <f>IF(AND(Data_Analyst_Intern_Nikhil_Kumar_February2026[[#This Row],[Status]]="Delivered",Data_Analyst_Intern_Nikhil_Kumar_February2026[[#This Row],[Return?]]="Yes"),1,0)</f>
        <v>0</v>
      </c>
      <c r="AG255" t="s">
        <v>29</v>
      </c>
      <c r="AI255" t="s">
        <v>36</v>
      </c>
    </row>
    <row r="256" spans="1:35" x14ac:dyDescent="0.3">
      <c r="A256" t="s">
        <v>1117</v>
      </c>
      <c r="B256" s="1">
        <v>45634</v>
      </c>
      <c r="C256" s="1" t="str">
        <f>TEXT(Data_Analyst_Intern_Nikhil_Kumar_February2026[[#This Row],[Order Date]], "mmmm")</f>
        <v>December</v>
      </c>
      <c r="D256" s="23">
        <f>WEEKNUM(Data_Analyst_Intern_Nikhil_Kumar_February2026[[#This Row],[Order Date]],2)</f>
        <v>49</v>
      </c>
      <c r="E256" s="23" t="str">
        <f>TEXT(Data_Analyst_Intern_Nikhil_Kumar_February2026[[#This Row],[Order Date]],"dddd")</f>
        <v>Sunday</v>
      </c>
      <c r="F256" s="1">
        <v>45628</v>
      </c>
      <c r="G256" s="23" t="str">
        <f>TEXT(WEEKDAY(Data_Analyst_Intern_Nikhil_Kumar_February2026[[#This Row],[Order Date]],2), "dddd")</f>
        <v>Saturday</v>
      </c>
      <c r="H256" t="s">
        <v>1118</v>
      </c>
      <c r="I256" t="s">
        <v>25</v>
      </c>
      <c r="J256" t="s">
        <v>261</v>
      </c>
      <c r="K256" t="s">
        <v>27</v>
      </c>
      <c r="L256" t="s">
        <v>262</v>
      </c>
      <c r="M256" s="2">
        <v>1699</v>
      </c>
      <c r="N256">
        <v>2</v>
      </c>
      <c r="O256" s="2">
        <v>3398</v>
      </c>
      <c r="P256" t="s">
        <v>29</v>
      </c>
      <c r="Q256">
        <v>0</v>
      </c>
      <c r="R256" s="4">
        <f>IFERROR(Data_Analyst_Intern_Nikhil_Kumar_February2026[[#This Row],[Total]]/Data_Analyst_Intern_Nikhil_Kumar_February2026[[#This Row],[Discount(%)]],0)</f>
        <v>0</v>
      </c>
      <c r="S256" s="2">
        <f>Data_Analyst_Intern_Nikhil_Kumar_February2026[[#This Row],[Total]]-Data_Analyst_Intern_Nikhil_Kumar_February2026[[#This Row],[Discount Amount]]</f>
        <v>3398</v>
      </c>
      <c r="T256" t="s">
        <v>65</v>
      </c>
      <c r="U256" t="s">
        <v>66</v>
      </c>
      <c r="V256" t="s">
        <v>156</v>
      </c>
      <c r="W256" t="s">
        <v>98</v>
      </c>
      <c r="X256" t="s">
        <v>32</v>
      </c>
      <c r="Y256" s="1">
        <v>45648</v>
      </c>
      <c r="Z256" s="3">
        <f>Data_Analyst_Intern_Nikhil_Kumar_February2026[[#This Row],[Del Date]]-Data_Analyst_Intern_Nikhil_Kumar_February2026[[#This Row],[Order Date]]</f>
        <v>14</v>
      </c>
      <c r="AA256" s="3" t="str" cm="1">
        <f t="array" ref="AA256">_xlfn.IFS(Data_Analyst_Intern_Nikhil_Kumar_February2026[[#This Row],[Del Days]]&lt;=7,"Fast",Data_Analyst_Intern_Nikhil_Kumar_February2026[[#This Row],[Del Days]]&lt;=15,"Standard",Data_Analyst_Intern_Nikhil_Kumar_February2026[[#This Row],[Del Days]]&gt;15,"Slow")</f>
        <v>Standard</v>
      </c>
      <c r="AB256" t="s">
        <v>34</v>
      </c>
      <c r="AC256">
        <f>IF(Data_Analyst_Intern_Nikhil_Kumar_February2026[[#This Row],[Status]]="RTO", 1,0)</f>
        <v>0</v>
      </c>
      <c r="AD256">
        <f>IF(Data_Analyst_Intern_Nikhil_Kumar_February2026[[#This Row],[Status]]="Delivered",1,0)</f>
        <v>1</v>
      </c>
      <c r="AE256" t="s">
        <v>47</v>
      </c>
      <c r="AF256">
        <f>IF(AND(Data_Analyst_Intern_Nikhil_Kumar_February2026[[#This Row],[Status]]="Delivered",Data_Analyst_Intern_Nikhil_Kumar_February2026[[#This Row],[Return?]]="Yes"),1,0)</f>
        <v>1</v>
      </c>
      <c r="AG256" t="s">
        <v>48</v>
      </c>
      <c r="AH256" s="1">
        <v>45673</v>
      </c>
      <c r="AI256" t="s">
        <v>49</v>
      </c>
    </row>
    <row r="257" spans="1:35" x14ac:dyDescent="0.3">
      <c r="A257" t="s">
        <v>1119</v>
      </c>
      <c r="B257" s="1">
        <v>45634</v>
      </c>
      <c r="C257" s="1" t="str">
        <f>TEXT(Data_Analyst_Intern_Nikhil_Kumar_February2026[[#This Row],[Order Date]], "mmmm")</f>
        <v>December</v>
      </c>
      <c r="D257" s="23">
        <f>WEEKNUM(Data_Analyst_Intern_Nikhil_Kumar_February2026[[#This Row],[Order Date]],2)</f>
        <v>49</v>
      </c>
      <c r="E257" s="23" t="str">
        <f>TEXT(Data_Analyst_Intern_Nikhil_Kumar_February2026[[#This Row],[Order Date]],"dddd")</f>
        <v>Sunday</v>
      </c>
      <c r="F257" s="1">
        <v>45628</v>
      </c>
      <c r="G257" s="23" t="str">
        <f>TEXT(WEEKDAY(Data_Analyst_Intern_Nikhil_Kumar_February2026[[#This Row],[Order Date]],2), "dddd")</f>
        <v>Saturday</v>
      </c>
      <c r="H257" t="s">
        <v>1120</v>
      </c>
      <c r="I257" t="s">
        <v>25</v>
      </c>
      <c r="J257" t="s">
        <v>1121</v>
      </c>
      <c r="K257" t="s">
        <v>41</v>
      </c>
      <c r="L257" t="s">
        <v>1122</v>
      </c>
      <c r="M257" s="2">
        <v>2799</v>
      </c>
      <c r="N257">
        <v>1</v>
      </c>
      <c r="O257" s="2">
        <v>2799</v>
      </c>
      <c r="P257" t="s">
        <v>995</v>
      </c>
      <c r="Q257">
        <v>20</v>
      </c>
      <c r="R257" s="4">
        <f>IFERROR(Data_Analyst_Intern_Nikhil_Kumar_February2026[[#This Row],[Total]]/Data_Analyst_Intern_Nikhil_Kumar_February2026[[#This Row],[Discount(%)]],0)</f>
        <v>139.94999999999999</v>
      </c>
      <c r="S257" s="2">
        <f>Data_Analyst_Intern_Nikhil_Kumar_February2026[[#This Row],[Total]]-Data_Analyst_Intern_Nikhil_Kumar_February2026[[#This Row],[Discount Amount]]</f>
        <v>2659.05</v>
      </c>
      <c r="T257" t="s">
        <v>44</v>
      </c>
      <c r="U257" t="s">
        <v>31</v>
      </c>
      <c r="V257" t="s">
        <v>204</v>
      </c>
      <c r="W257" t="s">
        <v>98</v>
      </c>
      <c r="X257" t="s">
        <v>32</v>
      </c>
      <c r="Y257" s="1">
        <v>45649</v>
      </c>
      <c r="Z257" s="3">
        <f>Data_Analyst_Intern_Nikhil_Kumar_February2026[[#This Row],[Del Date]]-Data_Analyst_Intern_Nikhil_Kumar_February2026[[#This Row],[Order Date]]</f>
        <v>15</v>
      </c>
      <c r="AA257" s="3" t="str" cm="1">
        <f t="array" ref="AA257">_xlfn.IFS(Data_Analyst_Intern_Nikhil_Kumar_February2026[[#This Row],[Del Days]]&lt;=7,"Fast",Data_Analyst_Intern_Nikhil_Kumar_February2026[[#This Row],[Del Days]]&lt;=15,"Standard",Data_Analyst_Intern_Nikhil_Kumar_February2026[[#This Row],[Del Days]]&gt;15,"Slow")</f>
        <v>Standard</v>
      </c>
      <c r="AB257" t="s">
        <v>34</v>
      </c>
      <c r="AC257">
        <f>IF(Data_Analyst_Intern_Nikhil_Kumar_February2026[[#This Row],[Status]]="RTO", 1,0)</f>
        <v>0</v>
      </c>
      <c r="AD257">
        <f>IF(Data_Analyst_Intern_Nikhil_Kumar_February2026[[#This Row],[Status]]="Delivered",1,0)</f>
        <v>1</v>
      </c>
      <c r="AE257" t="s">
        <v>47</v>
      </c>
      <c r="AF257">
        <f>IF(AND(Data_Analyst_Intern_Nikhil_Kumar_February2026[[#This Row],[Status]]="Delivered",Data_Analyst_Intern_Nikhil_Kumar_February2026[[#This Row],[Return?]]="Yes"),1,0)</f>
        <v>1</v>
      </c>
      <c r="AG257" t="s">
        <v>105</v>
      </c>
      <c r="AH257" s="1">
        <v>45675</v>
      </c>
      <c r="AI257" t="s">
        <v>49</v>
      </c>
    </row>
    <row r="258" spans="1:35" x14ac:dyDescent="0.3">
      <c r="A258" t="s">
        <v>1123</v>
      </c>
      <c r="B258" s="1">
        <v>45634</v>
      </c>
      <c r="C258" s="1" t="str">
        <f>TEXT(Data_Analyst_Intern_Nikhil_Kumar_February2026[[#This Row],[Order Date]], "mmmm")</f>
        <v>December</v>
      </c>
      <c r="D258" s="23">
        <f>WEEKNUM(Data_Analyst_Intern_Nikhil_Kumar_February2026[[#This Row],[Order Date]],2)</f>
        <v>49</v>
      </c>
      <c r="E258" s="23" t="str">
        <f>TEXT(Data_Analyst_Intern_Nikhil_Kumar_February2026[[#This Row],[Order Date]],"dddd")</f>
        <v>Sunday</v>
      </c>
      <c r="F258" s="1">
        <v>45628</v>
      </c>
      <c r="G258" s="23" t="str">
        <f>TEXT(WEEKDAY(Data_Analyst_Intern_Nikhil_Kumar_February2026[[#This Row],[Order Date]],2), "dddd")</f>
        <v>Saturday</v>
      </c>
      <c r="H258" t="s">
        <v>1124</v>
      </c>
      <c r="I258" t="s">
        <v>25</v>
      </c>
      <c r="J258" t="s">
        <v>1125</v>
      </c>
      <c r="K258" t="s">
        <v>54</v>
      </c>
      <c r="L258" t="s">
        <v>314</v>
      </c>
      <c r="M258" s="2">
        <v>2299</v>
      </c>
      <c r="N258">
        <v>1</v>
      </c>
      <c r="O258" s="2">
        <v>2299</v>
      </c>
      <c r="P258" t="s">
        <v>29</v>
      </c>
      <c r="Q258">
        <v>0</v>
      </c>
      <c r="R258" s="4">
        <f>IFERROR(Data_Analyst_Intern_Nikhil_Kumar_February2026[[#This Row],[Total]]/Data_Analyst_Intern_Nikhil_Kumar_February2026[[#This Row],[Discount(%)]],0)</f>
        <v>0</v>
      </c>
      <c r="S258" s="2">
        <f>Data_Analyst_Intern_Nikhil_Kumar_February2026[[#This Row],[Total]]-Data_Analyst_Intern_Nikhil_Kumar_February2026[[#This Row],[Discount Amount]]</f>
        <v>2299</v>
      </c>
      <c r="T258" t="s">
        <v>30</v>
      </c>
      <c r="U258" t="s">
        <v>45</v>
      </c>
      <c r="V258" t="s">
        <v>209</v>
      </c>
      <c r="W258" t="s">
        <v>98</v>
      </c>
      <c r="X258" t="s">
        <v>32</v>
      </c>
      <c r="Y258" s="1">
        <v>45649</v>
      </c>
      <c r="Z258" s="3">
        <f>Data_Analyst_Intern_Nikhil_Kumar_February2026[[#This Row],[Del Date]]-Data_Analyst_Intern_Nikhil_Kumar_February2026[[#This Row],[Order Date]]</f>
        <v>15</v>
      </c>
      <c r="AA258" s="3" t="str" cm="1">
        <f t="array" ref="AA258">_xlfn.IFS(Data_Analyst_Intern_Nikhil_Kumar_February2026[[#This Row],[Del Days]]&lt;=7,"Fast",Data_Analyst_Intern_Nikhil_Kumar_February2026[[#This Row],[Del Days]]&lt;=15,"Standard",Data_Analyst_Intern_Nikhil_Kumar_February2026[[#This Row],[Del Days]]&gt;15,"Slow")</f>
        <v>Standard</v>
      </c>
      <c r="AB258" t="s">
        <v>34</v>
      </c>
      <c r="AC258">
        <f>IF(Data_Analyst_Intern_Nikhil_Kumar_February2026[[#This Row],[Status]]="RTO", 1,0)</f>
        <v>0</v>
      </c>
      <c r="AD258">
        <f>IF(Data_Analyst_Intern_Nikhil_Kumar_February2026[[#This Row],[Status]]="Delivered",1,0)</f>
        <v>1</v>
      </c>
      <c r="AE258" t="s">
        <v>35</v>
      </c>
      <c r="AF258">
        <f>IF(AND(Data_Analyst_Intern_Nikhil_Kumar_February2026[[#This Row],[Status]]="Delivered",Data_Analyst_Intern_Nikhil_Kumar_February2026[[#This Row],[Return?]]="Yes"),1,0)</f>
        <v>0</v>
      </c>
      <c r="AG258" t="s">
        <v>29</v>
      </c>
      <c r="AI258" t="s">
        <v>36</v>
      </c>
    </row>
    <row r="259" spans="1:35" x14ac:dyDescent="0.3">
      <c r="A259" t="s">
        <v>1126</v>
      </c>
      <c r="B259" s="1">
        <v>45635</v>
      </c>
      <c r="C259" s="1" t="str">
        <f>TEXT(Data_Analyst_Intern_Nikhil_Kumar_February2026[[#This Row],[Order Date]], "mmmm")</f>
        <v>December</v>
      </c>
      <c r="D259" s="23">
        <f>WEEKNUM(Data_Analyst_Intern_Nikhil_Kumar_February2026[[#This Row],[Order Date]],2)</f>
        <v>50</v>
      </c>
      <c r="E259" s="23" t="str">
        <f>TEXT(Data_Analyst_Intern_Nikhil_Kumar_February2026[[#This Row],[Order Date]],"dddd")</f>
        <v>Monday</v>
      </c>
      <c r="F259" s="1">
        <v>45635</v>
      </c>
      <c r="G259" s="23" t="str">
        <f>TEXT(WEEKDAY(Data_Analyst_Intern_Nikhil_Kumar_February2026[[#This Row],[Order Date]],2), "dddd")</f>
        <v>Sunday</v>
      </c>
      <c r="H259" t="s">
        <v>1127</v>
      </c>
      <c r="I259" t="s">
        <v>39</v>
      </c>
      <c r="J259" t="s">
        <v>1128</v>
      </c>
      <c r="K259" t="s">
        <v>62</v>
      </c>
      <c r="L259" t="s">
        <v>1129</v>
      </c>
      <c r="M259" s="2">
        <v>5999</v>
      </c>
      <c r="N259">
        <v>1</v>
      </c>
      <c r="O259" s="2">
        <v>5999</v>
      </c>
      <c r="P259" t="s">
        <v>29</v>
      </c>
      <c r="Q259">
        <v>0</v>
      </c>
      <c r="R259" s="4">
        <f>IFERROR(Data_Analyst_Intern_Nikhil_Kumar_February2026[[#This Row],[Total]]/Data_Analyst_Intern_Nikhil_Kumar_February2026[[#This Row],[Discount(%)]],0)</f>
        <v>0</v>
      </c>
      <c r="S259" s="2">
        <f>Data_Analyst_Intern_Nikhil_Kumar_February2026[[#This Row],[Total]]-Data_Analyst_Intern_Nikhil_Kumar_February2026[[#This Row],[Discount Amount]]</f>
        <v>5999</v>
      </c>
      <c r="T259" t="s">
        <v>56</v>
      </c>
      <c r="U259" t="s">
        <v>66</v>
      </c>
      <c r="V259" t="s">
        <v>214</v>
      </c>
      <c r="W259" t="s">
        <v>114</v>
      </c>
      <c r="X259" t="s">
        <v>46</v>
      </c>
      <c r="Y259" s="1">
        <v>45650</v>
      </c>
      <c r="Z259" s="3">
        <f>Data_Analyst_Intern_Nikhil_Kumar_February2026[[#This Row],[Del Date]]-Data_Analyst_Intern_Nikhil_Kumar_February2026[[#This Row],[Order Date]]</f>
        <v>15</v>
      </c>
      <c r="AA259" s="3" t="str" cm="1">
        <f t="array" ref="AA259">_xlfn.IFS(Data_Analyst_Intern_Nikhil_Kumar_February2026[[#This Row],[Del Days]]&lt;=7,"Fast",Data_Analyst_Intern_Nikhil_Kumar_February2026[[#This Row],[Del Days]]&lt;=15,"Standard",Data_Analyst_Intern_Nikhil_Kumar_February2026[[#This Row],[Del Days]]&gt;15,"Slow")</f>
        <v>Standard</v>
      </c>
      <c r="AB259" t="s">
        <v>34</v>
      </c>
      <c r="AC259">
        <f>IF(Data_Analyst_Intern_Nikhil_Kumar_February2026[[#This Row],[Status]]="RTO", 1,0)</f>
        <v>0</v>
      </c>
      <c r="AD259">
        <f>IF(Data_Analyst_Intern_Nikhil_Kumar_February2026[[#This Row],[Status]]="Delivered",1,0)</f>
        <v>1</v>
      </c>
      <c r="AE259" t="s">
        <v>47</v>
      </c>
      <c r="AF259">
        <f>IF(AND(Data_Analyst_Intern_Nikhil_Kumar_February2026[[#This Row],[Status]]="Delivered",Data_Analyst_Intern_Nikhil_Kumar_February2026[[#This Row],[Return?]]="Yes"),1,0)</f>
        <v>1</v>
      </c>
      <c r="AG259" t="s">
        <v>80</v>
      </c>
      <c r="AH259" s="1">
        <v>45677</v>
      </c>
      <c r="AI259" t="s">
        <v>49</v>
      </c>
    </row>
    <row r="260" spans="1:35" x14ac:dyDescent="0.3">
      <c r="A260" t="s">
        <v>1130</v>
      </c>
      <c r="B260" s="1">
        <v>45635</v>
      </c>
      <c r="C260" s="1" t="str">
        <f>TEXT(Data_Analyst_Intern_Nikhil_Kumar_February2026[[#This Row],[Order Date]], "mmmm")</f>
        <v>December</v>
      </c>
      <c r="D260" s="23">
        <f>WEEKNUM(Data_Analyst_Intern_Nikhil_Kumar_February2026[[#This Row],[Order Date]],2)</f>
        <v>50</v>
      </c>
      <c r="E260" s="23" t="str">
        <f>TEXT(Data_Analyst_Intern_Nikhil_Kumar_February2026[[#This Row],[Order Date]],"dddd")</f>
        <v>Monday</v>
      </c>
      <c r="F260" s="1">
        <v>45635</v>
      </c>
      <c r="G260" s="23" t="str">
        <f>TEXT(WEEKDAY(Data_Analyst_Intern_Nikhil_Kumar_February2026[[#This Row],[Order Date]],2), "dddd")</f>
        <v>Sunday</v>
      </c>
      <c r="H260" t="s">
        <v>1131</v>
      </c>
      <c r="I260" t="s">
        <v>25</v>
      </c>
      <c r="J260" t="s">
        <v>1132</v>
      </c>
      <c r="K260" t="s">
        <v>72</v>
      </c>
      <c r="L260" t="s">
        <v>1133</v>
      </c>
      <c r="M260" s="2">
        <v>899</v>
      </c>
      <c r="N260">
        <v>2</v>
      </c>
      <c r="O260" s="2">
        <v>1798</v>
      </c>
      <c r="P260" t="s">
        <v>995</v>
      </c>
      <c r="Q260">
        <v>20</v>
      </c>
      <c r="R260" s="4">
        <f>IFERROR(Data_Analyst_Intern_Nikhil_Kumar_February2026[[#This Row],[Total]]/Data_Analyst_Intern_Nikhil_Kumar_February2026[[#This Row],[Discount(%)]],0)</f>
        <v>89.9</v>
      </c>
      <c r="S260" s="2">
        <f>Data_Analyst_Intern_Nikhil_Kumar_February2026[[#This Row],[Total]]-Data_Analyst_Intern_Nikhil_Kumar_February2026[[#This Row],[Discount Amount]]</f>
        <v>1708.1</v>
      </c>
      <c r="T260" t="s">
        <v>112</v>
      </c>
      <c r="U260" t="s">
        <v>31</v>
      </c>
      <c r="V260" t="s">
        <v>32</v>
      </c>
      <c r="W260" t="s">
        <v>33</v>
      </c>
      <c r="X260" t="s">
        <v>32</v>
      </c>
      <c r="Y260" s="1">
        <v>45649</v>
      </c>
      <c r="Z260" s="3">
        <f>Data_Analyst_Intern_Nikhil_Kumar_February2026[[#This Row],[Del Date]]-Data_Analyst_Intern_Nikhil_Kumar_February2026[[#This Row],[Order Date]]</f>
        <v>14</v>
      </c>
      <c r="AA260" s="3" t="str" cm="1">
        <f t="array" ref="AA260">_xlfn.IFS(Data_Analyst_Intern_Nikhil_Kumar_February2026[[#This Row],[Del Days]]&lt;=7,"Fast",Data_Analyst_Intern_Nikhil_Kumar_February2026[[#This Row],[Del Days]]&lt;=15,"Standard",Data_Analyst_Intern_Nikhil_Kumar_February2026[[#This Row],[Del Days]]&gt;15,"Slow")</f>
        <v>Standard</v>
      </c>
      <c r="AB260" t="s">
        <v>34</v>
      </c>
      <c r="AC260">
        <f>IF(Data_Analyst_Intern_Nikhil_Kumar_February2026[[#This Row],[Status]]="RTO", 1,0)</f>
        <v>0</v>
      </c>
      <c r="AD260">
        <f>IF(Data_Analyst_Intern_Nikhil_Kumar_February2026[[#This Row],[Status]]="Delivered",1,0)</f>
        <v>1</v>
      </c>
      <c r="AE260" t="s">
        <v>35</v>
      </c>
      <c r="AF260">
        <f>IF(AND(Data_Analyst_Intern_Nikhil_Kumar_February2026[[#This Row],[Status]]="Delivered",Data_Analyst_Intern_Nikhil_Kumar_February2026[[#This Row],[Return?]]="Yes"),1,0)</f>
        <v>0</v>
      </c>
      <c r="AG260" t="s">
        <v>29</v>
      </c>
      <c r="AI260" t="s">
        <v>36</v>
      </c>
    </row>
    <row r="261" spans="1:35" x14ac:dyDescent="0.3">
      <c r="A261" t="s">
        <v>1134</v>
      </c>
      <c r="B261" s="1">
        <v>45635</v>
      </c>
      <c r="C261" s="1" t="str">
        <f>TEXT(Data_Analyst_Intern_Nikhil_Kumar_February2026[[#This Row],[Order Date]], "mmmm")</f>
        <v>December</v>
      </c>
      <c r="D261" s="23">
        <f>WEEKNUM(Data_Analyst_Intern_Nikhil_Kumar_February2026[[#This Row],[Order Date]],2)</f>
        <v>50</v>
      </c>
      <c r="E261" s="23" t="str">
        <f>TEXT(Data_Analyst_Intern_Nikhil_Kumar_February2026[[#This Row],[Order Date]],"dddd")</f>
        <v>Monday</v>
      </c>
      <c r="F261" s="1">
        <v>45635</v>
      </c>
      <c r="G261" s="23" t="str">
        <f>TEXT(WEEKDAY(Data_Analyst_Intern_Nikhil_Kumar_February2026[[#This Row],[Order Date]],2), "dddd")</f>
        <v>Sunday</v>
      </c>
      <c r="H261" t="s">
        <v>1135</v>
      </c>
      <c r="I261" t="s">
        <v>25</v>
      </c>
      <c r="J261" t="s">
        <v>1136</v>
      </c>
      <c r="K261" t="s">
        <v>27</v>
      </c>
      <c r="L261" t="s">
        <v>1137</v>
      </c>
      <c r="M261" s="2">
        <v>2099</v>
      </c>
      <c r="N261">
        <v>1</v>
      </c>
      <c r="O261" s="2">
        <v>2099</v>
      </c>
      <c r="P261" t="s">
        <v>29</v>
      </c>
      <c r="Q261">
        <v>0</v>
      </c>
      <c r="R261" s="4">
        <f>IFERROR(Data_Analyst_Intern_Nikhil_Kumar_February2026[[#This Row],[Total]]/Data_Analyst_Intern_Nikhil_Kumar_February2026[[#This Row],[Discount(%)]],0)</f>
        <v>0</v>
      </c>
      <c r="S261" s="2">
        <f>Data_Analyst_Intern_Nikhil_Kumar_February2026[[#This Row],[Total]]-Data_Analyst_Intern_Nikhil_Kumar_February2026[[#This Row],[Discount Amount]]</f>
        <v>2099</v>
      </c>
      <c r="T261" t="s">
        <v>65</v>
      </c>
      <c r="U261" t="s">
        <v>45</v>
      </c>
      <c r="V261" t="s">
        <v>46</v>
      </c>
      <c r="W261" t="s">
        <v>46</v>
      </c>
      <c r="X261" t="s">
        <v>46</v>
      </c>
      <c r="Y261" s="1">
        <v>45650</v>
      </c>
      <c r="Z261" s="3">
        <f>Data_Analyst_Intern_Nikhil_Kumar_February2026[[#This Row],[Del Date]]-Data_Analyst_Intern_Nikhil_Kumar_February2026[[#This Row],[Order Date]]</f>
        <v>15</v>
      </c>
      <c r="AA261" s="3" t="str" cm="1">
        <f t="array" ref="AA261">_xlfn.IFS(Data_Analyst_Intern_Nikhil_Kumar_February2026[[#This Row],[Del Days]]&lt;=7,"Fast",Data_Analyst_Intern_Nikhil_Kumar_February2026[[#This Row],[Del Days]]&lt;=15,"Standard",Data_Analyst_Intern_Nikhil_Kumar_February2026[[#This Row],[Del Days]]&gt;15,"Slow")</f>
        <v>Standard</v>
      </c>
      <c r="AB261" t="s">
        <v>34</v>
      </c>
      <c r="AC261">
        <f>IF(Data_Analyst_Intern_Nikhil_Kumar_February2026[[#This Row],[Status]]="RTO", 1,0)</f>
        <v>0</v>
      </c>
      <c r="AD261">
        <f>IF(Data_Analyst_Intern_Nikhil_Kumar_February2026[[#This Row],[Status]]="Delivered",1,0)</f>
        <v>1</v>
      </c>
      <c r="AE261" t="s">
        <v>47</v>
      </c>
      <c r="AF261">
        <f>IF(AND(Data_Analyst_Intern_Nikhil_Kumar_February2026[[#This Row],[Status]]="Delivered",Data_Analyst_Intern_Nikhil_Kumar_February2026[[#This Row],[Return?]]="Yes"),1,0)</f>
        <v>1</v>
      </c>
      <c r="AG261" t="s">
        <v>69</v>
      </c>
      <c r="AH261" s="1">
        <v>45676</v>
      </c>
      <c r="AI261" t="s">
        <v>49</v>
      </c>
    </row>
    <row r="262" spans="1:35" x14ac:dyDescent="0.3">
      <c r="A262" t="s">
        <v>1138</v>
      </c>
      <c r="B262" s="1">
        <v>45636</v>
      </c>
      <c r="C262" s="1" t="str">
        <f>TEXT(Data_Analyst_Intern_Nikhil_Kumar_February2026[[#This Row],[Order Date]], "mmmm")</f>
        <v>December</v>
      </c>
      <c r="D262" s="23">
        <f>WEEKNUM(Data_Analyst_Intern_Nikhil_Kumar_February2026[[#This Row],[Order Date]],2)</f>
        <v>50</v>
      </c>
      <c r="E262" s="23" t="str">
        <f>TEXT(Data_Analyst_Intern_Nikhil_Kumar_February2026[[#This Row],[Order Date]],"dddd")</f>
        <v>Tuesday</v>
      </c>
      <c r="F262" s="1">
        <v>45635</v>
      </c>
      <c r="G262" s="23" t="str">
        <f>TEXT(WEEKDAY(Data_Analyst_Intern_Nikhil_Kumar_February2026[[#This Row],[Order Date]],2), "dddd")</f>
        <v>Monday</v>
      </c>
      <c r="H262" t="s">
        <v>1139</v>
      </c>
      <c r="I262" t="s">
        <v>25</v>
      </c>
      <c r="J262" t="s">
        <v>1140</v>
      </c>
      <c r="K262" t="s">
        <v>41</v>
      </c>
      <c r="L262" t="s">
        <v>1141</v>
      </c>
      <c r="M262" s="2">
        <v>3999</v>
      </c>
      <c r="N262">
        <v>1</v>
      </c>
      <c r="O262" s="2">
        <v>3999</v>
      </c>
      <c r="P262" t="s">
        <v>29</v>
      </c>
      <c r="Q262">
        <v>0</v>
      </c>
      <c r="R262" s="4">
        <f>IFERROR(Data_Analyst_Intern_Nikhil_Kumar_February2026[[#This Row],[Total]]/Data_Analyst_Intern_Nikhil_Kumar_February2026[[#This Row],[Discount(%)]],0)</f>
        <v>0</v>
      </c>
      <c r="S262" s="2">
        <f>Data_Analyst_Intern_Nikhil_Kumar_February2026[[#This Row],[Total]]-Data_Analyst_Intern_Nikhil_Kumar_February2026[[#This Row],[Discount Amount]]</f>
        <v>3999</v>
      </c>
      <c r="T262" t="s">
        <v>44</v>
      </c>
      <c r="U262" t="s">
        <v>66</v>
      </c>
      <c r="V262" t="s">
        <v>119</v>
      </c>
      <c r="W262" t="s">
        <v>120</v>
      </c>
      <c r="X262" t="s">
        <v>46</v>
      </c>
      <c r="Y262" s="1">
        <v>45651</v>
      </c>
      <c r="Z262" s="3">
        <f>Data_Analyst_Intern_Nikhil_Kumar_February2026[[#This Row],[Del Date]]-Data_Analyst_Intern_Nikhil_Kumar_February2026[[#This Row],[Order Date]]</f>
        <v>15</v>
      </c>
      <c r="AA262" s="3" t="str" cm="1">
        <f t="array" ref="AA262">_xlfn.IFS(Data_Analyst_Intern_Nikhil_Kumar_February2026[[#This Row],[Del Days]]&lt;=7,"Fast",Data_Analyst_Intern_Nikhil_Kumar_February2026[[#This Row],[Del Days]]&lt;=15,"Standard",Data_Analyst_Intern_Nikhil_Kumar_February2026[[#This Row],[Del Days]]&gt;15,"Slow")</f>
        <v>Standard</v>
      </c>
      <c r="AB262" t="s">
        <v>34</v>
      </c>
      <c r="AC262">
        <f>IF(Data_Analyst_Intern_Nikhil_Kumar_February2026[[#This Row],[Status]]="RTO", 1,0)</f>
        <v>0</v>
      </c>
      <c r="AD262">
        <f>IF(Data_Analyst_Intern_Nikhil_Kumar_February2026[[#This Row],[Status]]="Delivered",1,0)</f>
        <v>1</v>
      </c>
      <c r="AE262" t="s">
        <v>47</v>
      </c>
      <c r="AF262">
        <f>IF(AND(Data_Analyst_Intern_Nikhil_Kumar_February2026[[#This Row],[Status]]="Delivered",Data_Analyst_Intern_Nikhil_Kumar_February2026[[#This Row],[Return?]]="Yes"),1,0)</f>
        <v>1</v>
      </c>
      <c r="AG262" t="s">
        <v>48</v>
      </c>
      <c r="AH262" s="1">
        <v>45679</v>
      </c>
      <c r="AI262" t="s">
        <v>49</v>
      </c>
    </row>
    <row r="263" spans="1:35" x14ac:dyDescent="0.3">
      <c r="A263" t="s">
        <v>1142</v>
      </c>
      <c r="B263" s="1">
        <v>45636</v>
      </c>
      <c r="C263" s="1" t="str">
        <f>TEXT(Data_Analyst_Intern_Nikhil_Kumar_February2026[[#This Row],[Order Date]], "mmmm")</f>
        <v>December</v>
      </c>
      <c r="D263" s="23">
        <f>WEEKNUM(Data_Analyst_Intern_Nikhil_Kumar_February2026[[#This Row],[Order Date]],2)</f>
        <v>50</v>
      </c>
      <c r="E263" s="23" t="str">
        <f>TEXT(Data_Analyst_Intern_Nikhil_Kumar_February2026[[#This Row],[Order Date]],"dddd")</f>
        <v>Tuesday</v>
      </c>
      <c r="F263" s="1">
        <v>45635</v>
      </c>
      <c r="G263" s="23" t="str">
        <f>TEXT(WEEKDAY(Data_Analyst_Intern_Nikhil_Kumar_February2026[[#This Row],[Order Date]],2), "dddd")</f>
        <v>Monday</v>
      </c>
      <c r="H263" t="s">
        <v>1143</v>
      </c>
      <c r="I263" t="s">
        <v>25</v>
      </c>
      <c r="J263" t="s">
        <v>1144</v>
      </c>
      <c r="K263" t="s">
        <v>54</v>
      </c>
      <c r="L263" t="s">
        <v>1145</v>
      </c>
      <c r="M263" s="2">
        <v>2499</v>
      </c>
      <c r="N263">
        <v>1</v>
      </c>
      <c r="O263" s="2">
        <v>2499</v>
      </c>
      <c r="P263" t="s">
        <v>995</v>
      </c>
      <c r="Q263">
        <v>20</v>
      </c>
      <c r="R263" s="4">
        <f>IFERROR(Data_Analyst_Intern_Nikhil_Kumar_February2026[[#This Row],[Total]]/Data_Analyst_Intern_Nikhil_Kumar_February2026[[#This Row],[Discount(%)]],0)</f>
        <v>124.95</v>
      </c>
      <c r="S263" s="2">
        <f>Data_Analyst_Intern_Nikhil_Kumar_February2026[[#This Row],[Total]]-Data_Analyst_Intern_Nikhil_Kumar_February2026[[#This Row],[Discount Amount]]</f>
        <v>2374.0500000000002</v>
      </c>
      <c r="T263" t="s">
        <v>30</v>
      </c>
      <c r="U263" t="s">
        <v>31</v>
      </c>
      <c r="V263" t="s">
        <v>138</v>
      </c>
      <c r="W263" t="s">
        <v>114</v>
      </c>
      <c r="X263" t="s">
        <v>46</v>
      </c>
      <c r="Y263" s="1">
        <v>45651</v>
      </c>
      <c r="Z263" s="3">
        <f>Data_Analyst_Intern_Nikhil_Kumar_February2026[[#This Row],[Del Date]]-Data_Analyst_Intern_Nikhil_Kumar_February2026[[#This Row],[Order Date]]</f>
        <v>15</v>
      </c>
      <c r="AA263" s="3" t="str" cm="1">
        <f t="array" ref="AA263">_xlfn.IFS(Data_Analyst_Intern_Nikhil_Kumar_February2026[[#This Row],[Del Days]]&lt;=7,"Fast",Data_Analyst_Intern_Nikhil_Kumar_February2026[[#This Row],[Del Days]]&lt;=15,"Standard",Data_Analyst_Intern_Nikhil_Kumar_February2026[[#This Row],[Del Days]]&gt;15,"Slow")</f>
        <v>Standard</v>
      </c>
      <c r="AB263" t="s">
        <v>34</v>
      </c>
      <c r="AC263">
        <f>IF(Data_Analyst_Intern_Nikhil_Kumar_February2026[[#This Row],[Status]]="RTO", 1,0)</f>
        <v>0</v>
      </c>
      <c r="AD263">
        <f>IF(Data_Analyst_Intern_Nikhil_Kumar_February2026[[#This Row],[Status]]="Delivered",1,0)</f>
        <v>1</v>
      </c>
      <c r="AE263" t="s">
        <v>35</v>
      </c>
      <c r="AF263">
        <f>IF(AND(Data_Analyst_Intern_Nikhil_Kumar_February2026[[#This Row],[Status]]="Delivered",Data_Analyst_Intern_Nikhil_Kumar_February2026[[#This Row],[Return?]]="Yes"),1,0)</f>
        <v>0</v>
      </c>
      <c r="AG263" t="s">
        <v>29</v>
      </c>
      <c r="AI263" t="s">
        <v>36</v>
      </c>
    </row>
    <row r="264" spans="1:35" x14ac:dyDescent="0.3">
      <c r="A264" t="s">
        <v>1146</v>
      </c>
      <c r="B264" s="1">
        <v>45636</v>
      </c>
      <c r="C264" s="1" t="str">
        <f>TEXT(Data_Analyst_Intern_Nikhil_Kumar_February2026[[#This Row],[Order Date]], "mmmm")</f>
        <v>December</v>
      </c>
      <c r="D264" s="23">
        <f>WEEKNUM(Data_Analyst_Intern_Nikhil_Kumar_February2026[[#This Row],[Order Date]],2)</f>
        <v>50</v>
      </c>
      <c r="E264" s="23" t="str">
        <f>TEXT(Data_Analyst_Intern_Nikhil_Kumar_February2026[[#This Row],[Order Date]],"dddd")</f>
        <v>Tuesday</v>
      </c>
      <c r="F264" s="1">
        <v>45635</v>
      </c>
      <c r="G264" s="23" t="str">
        <f>TEXT(WEEKDAY(Data_Analyst_Intern_Nikhil_Kumar_February2026[[#This Row],[Order Date]],2), "dddd")</f>
        <v>Monday</v>
      </c>
      <c r="H264" t="s">
        <v>1147</v>
      </c>
      <c r="I264" t="s">
        <v>39</v>
      </c>
      <c r="J264" t="s">
        <v>1148</v>
      </c>
      <c r="K264" t="s">
        <v>62</v>
      </c>
      <c r="L264" t="s">
        <v>1149</v>
      </c>
      <c r="M264" s="2">
        <v>4899</v>
      </c>
      <c r="N264">
        <v>1</v>
      </c>
      <c r="O264" s="2">
        <v>4899</v>
      </c>
      <c r="P264" t="s">
        <v>29</v>
      </c>
      <c r="Q264">
        <v>0</v>
      </c>
      <c r="R264" s="4">
        <f>IFERROR(Data_Analyst_Intern_Nikhil_Kumar_February2026[[#This Row],[Total]]/Data_Analyst_Intern_Nikhil_Kumar_February2026[[#This Row],[Discount(%)]],0)</f>
        <v>0</v>
      </c>
      <c r="S264" s="2">
        <f>Data_Analyst_Intern_Nikhil_Kumar_February2026[[#This Row],[Total]]-Data_Analyst_Intern_Nikhil_Kumar_February2026[[#This Row],[Discount Amount]]</f>
        <v>4899</v>
      </c>
      <c r="T264" t="s">
        <v>56</v>
      </c>
      <c r="U264" t="s">
        <v>45</v>
      </c>
      <c r="V264" t="s">
        <v>144</v>
      </c>
      <c r="W264" t="s">
        <v>145</v>
      </c>
      <c r="X264" t="s">
        <v>46</v>
      </c>
      <c r="Y264" s="1">
        <v>45652</v>
      </c>
      <c r="Z264" s="3">
        <f>Data_Analyst_Intern_Nikhil_Kumar_February2026[[#This Row],[Del Date]]-Data_Analyst_Intern_Nikhil_Kumar_February2026[[#This Row],[Order Date]]</f>
        <v>16</v>
      </c>
      <c r="AA264" s="3" t="str" cm="1">
        <f t="array" ref="AA264">_xlfn.IFS(Data_Analyst_Intern_Nikhil_Kumar_February2026[[#This Row],[Del Days]]&lt;=7,"Fast",Data_Analyst_Intern_Nikhil_Kumar_February2026[[#This Row],[Del Days]]&lt;=15,"Standard",Data_Analyst_Intern_Nikhil_Kumar_February2026[[#This Row],[Del Days]]&gt;15,"Slow")</f>
        <v>Slow</v>
      </c>
      <c r="AB264" t="s">
        <v>34</v>
      </c>
      <c r="AC264">
        <f>IF(Data_Analyst_Intern_Nikhil_Kumar_February2026[[#This Row],[Status]]="RTO", 1,0)</f>
        <v>0</v>
      </c>
      <c r="AD264">
        <f>IF(Data_Analyst_Intern_Nikhil_Kumar_February2026[[#This Row],[Status]]="Delivered",1,0)</f>
        <v>1</v>
      </c>
      <c r="AE264" t="s">
        <v>47</v>
      </c>
      <c r="AF264">
        <f>IF(AND(Data_Analyst_Intern_Nikhil_Kumar_February2026[[#This Row],[Status]]="Delivered",Data_Analyst_Intern_Nikhil_Kumar_February2026[[#This Row],[Return?]]="Yes"),1,0)</f>
        <v>1</v>
      </c>
      <c r="AG264" t="s">
        <v>105</v>
      </c>
      <c r="AH264" s="1">
        <v>45680</v>
      </c>
      <c r="AI264" t="s">
        <v>49</v>
      </c>
    </row>
    <row r="265" spans="1:35" x14ac:dyDescent="0.3">
      <c r="A265" t="s">
        <v>1150</v>
      </c>
      <c r="B265" s="1">
        <v>45636</v>
      </c>
      <c r="C265" s="1" t="str">
        <f>TEXT(Data_Analyst_Intern_Nikhil_Kumar_February2026[[#This Row],[Order Date]], "mmmm")</f>
        <v>December</v>
      </c>
      <c r="D265" s="23">
        <f>WEEKNUM(Data_Analyst_Intern_Nikhil_Kumar_February2026[[#This Row],[Order Date]],2)</f>
        <v>50</v>
      </c>
      <c r="E265" s="23" t="str">
        <f>TEXT(Data_Analyst_Intern_Nikhil_Kumar_February2026[[#This Row],[Order Date]],"dddd")</f>
        <v>Tuesday</v>
      </c>
      <c r="F265" s="1">
        <v>45635</v>
      </c>
      <c r="G265" s="23" t="str">
        <f>TEXT(WEEKDAY(Data_Analyst_Intern_Nikhil_Kumar_February2026[[#This Row],[Order Date]],2), "dddd")</f>
        <v>Monday</v>
      </c>
      <c r="H265" t="s">
        <v>1151</v>
      </c>
      <c r="I265" t="s">
        <v>25</v>
      </c>
      <c r="J265" t="s">
        <v>1152</v>
      </c>
      <c r="K265" t="s">
        <v>72</v>
      </c>
      <c r="L265" t="s">
        <v>1153</v>
      </c>
      <c r="M265" s="2">
        <v>1199</v>
      </c>
      <c r="N265">
        <v>1</v>
      </c>
      <c r="O265" s="2">
        <v>1199</v>
      </c>
      <c r="P265" t="s">
        <v>29</v>
      </c>
      <c r="Q265">
        <v>0</v>
      </c>
      <c r="R265" s="4">
        <f>IFERROR(Data_Analyst_Intern_Nikhil_Kumar_February2026[[#This Row],[Total]]/Data_Analyst_Intern_Nikhil_Kumar_February2026[[#This Row],[Discount(%)]],0)</f>
        <v>0</v>
      </c>
      <c r="S265" s="2">
        <f>Data_Analyst_Intern_Nikhil_Kumar_February2026[[#This Row],[Total]]-Data_Analyst_Intern_Nikhil_Kumar_February2026[[#This Row],[Discount Amount]]</f>
        <v>1199</v>
      </c>
      <c r="T265" t="s">
        <v>112</v>
      </c>
      <c r="U265" t="s">
        <v>66</v>
      </c>
      <c r="V265" t="s">
        <v>150</v>
      </c>
      <c r="W265" t="s">
        <v>151</v>
      </c>
      <c r="X265" t="s">
        <v>32</v>
      </c>
      <c r="Y265" s="1">
        <v>45651</v>
      </c>
      <c r="Z265" s="3">
        <f>Data_Analyst_Intern_Nikhil_Kumar_February2026[[#This Row],[Del Date]]-Data_Analyst_Intern_Nikhil_Kumar_February2026[[#This Row],[Order Date]]</f>
        <v>15</v>
      </c>
      <c r="AA265" s="3" t="str" cm="1">
        <f t="array" ref="AA265">_xlfn.IFS(Data_Analyst_Intern_Nikhil_Kumar_February2026[[#This Row],[Del Days]]&lt;=7,"Fast",Data_Analyst_Intern_Nikhil_Kumar_February2026[[#This Row],[Del Days]]&lt;=15,"Standard",Data_Analyst_Intern_Nikhil_Kumar_February2026[[#This Row],[Del Days]]&gt;15,"Slow")</f>
        <v>Standard</v>
      </c>
      <c r="AB265" t="s">
        <v>34</v>
      </c>
      <c r="AC265">
        <f>IF(Data_Analyst_Intern_Nikhil_Kumar_February2026[[#This Row],[Status]]="RTO", 1,0)</f>
        <v>0</v>
      </c>
      <c r="AD265">
        <f>IF(Data_Analyst_Intern_Nikhil_Kumar_February2026[[#This Row],[Status]]="Delivered",1,0)</f>
        <v>1</v>
      </c>
      <c r="AE265" t="s">
        <v>35</v>
      </c>
      <c r="AF265">
        <f>IF(AND(Data_Analyst_Intern_Nikhil_Kumar_February2026[[#This Row],[Status]]="Delivered",Data_Analyst_Intern_Nikhil_Kumar_February2026[[#This Row],[Return?]]="Yes"),1,0)</f>
        <v>0</v>
      </c>
      <c r="AG265" t="s">
        <v>29</v>
      </c>
      <c r="AI265" t="s">
        <v>36</v>
      </c>
    </row>
    <row r="266" spans="1:35" x14ac:dyDescent="0.3">
      <c r="A266" t="s">
        <v>1154</v>
      </c>
      <c r="B266" s="1">
        <v>45636</v>
      </c>
      <c r="C266" s="1" t="str">
        <f>TEXT(Data_Analyst_Intern_Nikhil_Kumar_February2026[[#This Row],[Order Date]], "mmmm")</f>
        <v>December</v>
      </c>
      <c r="D266" s="23">
        <f>WEEKNUM(Data_Analyst_Intern_Nikhil_Kumar_February2026[[#This Row],[Order Date]],2)</f>
        <v>50</v>
      </c>
      <c r="E266" s="23" t="str">
        <f>TEXT(Data_Analyst_Intern_Nikhil_Kumar_February2026[[#This Row],[Order Date]],"dddd")</f>
        <v>Tuesday</v>
      </c>
      <c r="F266" s="1">
        <v>45635</v>
      </c>
      <c r="G266" s="23" t="str">
        <f>TEXT(WEEKDAY(Data_Analyst_Intern_Nikhil_Kumar_February2026[[#This Row],[Order Date]],2), "dddd")</f>
        <v>Monday</v>
      </c>
      <c r="H266" t="s">
        <v>1155</v>
      </c>
      <c r="I266" t="s">
        <v>25</v>
      </c>
      <c r="J266" t="s">
        <v>1156</v>
      </c>
      <c r="K266" t="s">
        <v>27</v>
      </c>
      <c r="L266" t="s">
        <v>1157</v>
      </c>
      <c r="M266" s="2">
        <v>1899</v>
      </c>
      <c r="N266">
        <v>1</v>
      </c>
      <c r="O266" s="2">
        <v>1899</v>
      </c>
      <c r="P266" t="s">
        <v>995</v>
      </c>
      <c r="Q266">
        <v>20</v>
      </c>
      <c r="R266" s="4">
        <f>IFERROR(Data_Analyst_Intern_Nikhil_Kumar_February2026[[#This Row],[Total]]/Data_Analyst_Intern_Nikhil_Kumar_February2026[[#This Row],[Discount(%)]],0)</f>
        <v>94.95</v>
      </c>
      <c r="S266" s="2">
        <f>Data_Analyst_Intern_Nikhil_Kumar_February2026[[#This Row],[Total]]-Data_Analyst_Intern_Nikhil_Kumar_February2026[[#This Row],[Discount Amount]]</f>
        <v>1804.05</v>
      </c>
      <c r="T266" t="s">
        <v>65</v>
      </c>
      <c r="U266" t="s">
        <v>31</v>
      </c>
      <c r="V266" t="s">
        <v>156</v>
      </c>
      <c r="W266" t="s">
        <v>98</v>
      </c>
      <c r="X266" t="s">
        <v>32</v>
      </c>
      <c r="Y266" s="1">
        <v>45652</v>
      </c>
      <c r="Z266" s="3">
        <f>Data_Analyst_Intern_Nikhil_Kumar_February2026[[#This Row],[Del Date]]-Data_Analyst_Intern_Nikhil_Kumar_February2026[[#This Row],[Order Date]]</f>
        <v>16</v>
      </c>
      <c r="AA266" s="3" t="str" cm="1">
        <f t="array" ref="AA266">_xlfn.IFS(Data_Analyst_Intern_Nikhil_Kumar_February2026[[#This Row],[Del Days]]&lt;=7,"Fast",Data_Analyst_Intern_Nikhil_Kumar_February2026[[#This Row],[Del Days]]&lt;=15,"Standard",Data_Analyst_Intern_Nikhil_Kumar_February2026[[#This Row],[Del Days]]&gt;15,"Slow")</f>
        <v>Slow</v>
      </c>
      <c r="AB266" t="s">
        <v>34</v>
      </c>
      <c r="AC266">
        <f>IF(Data_Analyst_Intern_Nikhil_Kumar_February2026[[#This Row],[Status]]="RTO", 1,0)</f>
        <v>0</v>
      </c>
      <c r="AD266">
        <f>IF(Data_Analyst_Intern_Nikhil_Kumar_February2026[[#This Row],[Status]]="Delivered",1,0)</f>
        <v>1</v>
      </c>
      <c r="AE266" t="s">
        <v>47</v>
      </c>
      <c r="AF266">
        <f>IF(AND(Data_Analyst_Intern_Nikhil_Kumar_February2026[[#This Row],[Status]]="Delivered",Data_Analyst_Intern_Nikhil_Kumar_February2026[[#This Row],[Return?]]="Yes"),1,0)</f>
        <v>1</v>
      </c>
      <c r="AG266" t="s">
        <v>139</v>
      </c>
      <c r="AH266" s="1">
        <v>45678</v>
      </c>
      <c r="AI266" t="s">
        <v>49</v>
      </c>
    </row>
    <row r="267" spans="1:35" x14ac:dyDescent="0.3">
      <c r="A267" t="s">
        <v>1158</v>
      </c>
      <c r="B267" s="1">
        <v>45637</v>
      </c>
      <c r="C267" s="1" t="str">
        <f>TEXT(Data_Analyst_Intern_Nikhil_Kumar_February2026[[#This Row],[Order Date]], "mmmm")</f>
        <v>December</v>
      </c>
      <c r="D267" s="23">
        <f>WEEKNUM(Data_Analyst_Intern_Nikhil_Kumar_February2026[[#This Row],[Order Date]],2)</f>
        <v>50</v>
      </c>
      <c r="E267" s="23" t="str">
        <f>TEXT(Data_Analyst_Intern_Nikhil_Kumar_February2026[[#This Row],[Order Date]],"dddd")</f>
        <v>Wednesday</v>
      </c>
      <c r="F267" s="1">
        <v>45635</v>
      </c>
      <c r="G267" s="23" t="str">
        <f>TEXT(WEEKDAY(Data_Analyst_Intern_Nikhil_Kumar_February2026[[#This Row],[Order Date]],2), "dddd")</f>
        <v>Tuesday</v>
      </c>
      <c r="H267" t="s">
        <v>1159</v>
      </c>
      <c r="I267" t="s">
        <v>25</v>
      </c>
      <c r="J267" t="s">
        <v>1160</v>
      </c>
      <c r="K267" t="s">
        <v>41</v>
      </c>
      <c r="L267" t="s">
        <v>1161</v>
      </c>
      <c r="M267" s="2">
        <v>3599</v>
      </c>
      <c r="N267">
        <v>1</v>
      </c>
      <c r="O267" s="2">
        <v>3599</v>
      </c>
      <c r="P267" t="s">
        <v>29</v>
      </c>
      <c r="Q267">
        <v>0</v>
      </c>
      <c r="R267" s="4">
        <f>IFERROR(Data_Analyst_Intern_Nikhil_Kumar_February2026[[#This Row],[Total]]/Data_Analyst_Intern_Nikhil_Kumar_February2026[[#This Row],[Discount(%)]],0)</f>
        <v>0</v>
      </c>
      <c r="S267" s="2">
        <f>Data_Analyst_Intern_Nikhil_Kumar_February2026[[#This Row],[Total]]-Data_Analyst_Intern_Nikhil_Kumar_February2026[[#This Row],[Discount Amount]]</f>
        <v>3599</v>
      </c>
      <c r="T267" t="s">
        <v>44</v>
      </c>
      <c r="U267" t="s">
        <v>45</v>
      </c>
      <c r="V267" t="s">
        <v>161</v>
      </c>
      <c r="W267" t="s">
        <v>162</v>
      </c>
      <c r="X267" t="s">
        <v>46</v>
      </c>
      <c r="Y267" s="1">
        <v>45653</v>
      </c>
      <c r="Z267" s="3">
        <f>Data_Analyst_Intern_Nikhil_Kumar_February2026[[#This Row],[Del Date]]-Data_Analyst_Intern_Nikhil_Kumar_February2026[[#This Row],[Order Date]]</f>
        <v>16</v>
      </c>
      <c r="AA267" s="3" t="str" cm="1">
        <f t="array" ref="AA267">_xlfn.IFS(Data_Analyst_Intern_Nikhil_Kumar_February2026[[#This Row],[Del Days]]&lt;=7,"Fast",Data_Analyst_Intern_Nikhil_Kumar_February2026[[#This Row],[Del Days]]&lt;=15,"Standard",Data_Analyst_Intern_Nikhil_Kumar_February2026[[#This Row],[Del Days]]&gt;15,"Slow")</f>
        <v>Slow</v>
      </c>
      <c r="AB267" t="s">
        <v>34</v>
      </c>
      <c r="AC267">
        <f>IF(Data_Analyst_Intern_Nikhil_Kumar_February2026[[#This Row],[Status]]="RTO", 1,0)</f>
        <v>0</v>
      </c>
      <c r="AD267">
        <f>IF(Data_Analyst_Intern_Nikhil_Kumar_February2026[[#This Row],[Status]]="Delivered",1,0)</f>
        <v>1</v>
      </c>
      <c r="AE267" t="s">
        <v>35</v>
      </c>
      <c r="AF267">
        <f>IF(AND(Data_Analyst_Intern_Nikhil_Kumar_February2026[[#This Row],[Status]]="Delivered",Data_Analyst_Intern_Nikhil_Kumar_February2026[[#This Row],[Return?]]="Yes"),1,0)</f>
        <v>0</v>
      </c>
      <c r="AG267" t="s">
        <v>29</v>
      </c>
      <c r="AI267" t="s">
        <v>36</v>
      </c>
    </row>
    <row r="268" spans="1:35" x14ac:dyDescent="0.3">
      <c r="A268" t="s">
        <v>1162</v>
      </c>
      <c r="B268" s="1">
        <v>45637</v>
      </c>
      <c r="C268" s="1" t="str">
        <f>TEXT(Data_Analyst_Intern_Nikhil_Kumar_February2026[[#This Row],[Order Date]], "mmmm")</f>
        <v>December</v>
      </c>
      <c r="D268" s="23">
        <f>WEEKNUM(Data_Analyst_Intern_Nikhil_Kumar_February2026[[#This Row],[Order Date]],2)</f>
        <v>50</v>
      </c>
      <c r="E268" s="23" t="str">
        <f>TEXT(Data_Analyst_Intern_Nikhil_Kumar_February2026[[#This Row],[Order Date]],"dddd")</f>
        <v>Wednesday</v>
      </c>
      <c r="F268" s="1">
        <v>45635</v>
      </c>
      <c r="G268" s="23" t="str">
        <f>TEXT(WEEKDAY(Data_Analyst_Intern_Nikhil_Kumar_February2026[[#This Row],[Order Date]],2), "dddd")</f>
        <v>Tuesday</v>
      </c>
      <c r="H268" t="s">
        <v>1163</v>
      </c>
      <c r="I268" t="s">
        <v>25</v>
      </c>
      <c r="J268" t="s">
        <v>1164</v>
      </c>
      <c r="K268" t="s">
        <v>54</v>
      </c>
      <c r="L268" t="s">
        <v>1165</v>
      </c>
      <c r="M268" s="2">
        <v>2699</v>
      </c>
      <c r="N268">
        <v>1</v>
      </c>
      <c r="O268" s="2">
        <v>2699</v>
      </c>
      <c r="P268" t="s">
        <v>29</v>
      </c>
      <c r="Q268">
        <v>0</v>
      </c>
      <c r="R268" s="4">
        <f>IFERROR(Data_Analyst_Intern_Nikhil_Kumar_February2026[[#This Row],[Total]]/Data_Analyst_Intern_Nikhil_Kumar_February2026[[#This Row],[Discount(%)]],0)</f>
        <v>0</v>
      </c>
      <c r="S268" s="2">
        <f>Data_Analyst_Intern_Nikhil_Kumar_February2026[[#This Row],[Total]]-Data_Analyst_Intern_Nikhil_Kumar_February2026[[#This Row],[Discount Amount]]</f>
        <v>2699</v>
      </c>
      <c r="T268" t="s">
        <v>30</v>
      </c>
      <c r="U268" t="s">
        <v>66</v>
      </c>
      <c r="V268" t="s">
        <v>167</v>
      </c>
      <c r="W268" t="s">
        <v>151</v>
      </c>
      <c r="X268" t="s">
        <v>32</v>
      </c>
      <c r="Y268" s="1">
        <v>45653</v>
      </c>
      <c r="Z268" s="3">
        <f>Data_Analyst_Intern_Nikhil_Kumar_February2026[[#This Row],[Del Date]]-Data_Analyst_Intern_Nikhil_Kumar_February2026[[#This Row],[Order Date]]</f>
        <v>16</v>
      </c>
      <c r="AA268" s="3" t="str" cm="1">
        <f t="array" ref="AA268">_xlfn.IFS(Data_Analyst_Intern_Nikhil_Kumar_February2026[[#This Row],[Del Days]]&lt;=7,"Fast",Data_Analyst_Intern_Nikhil_Kumar_February2026[[#This Row],[Del Days]]&lt;=15,"Standard",Data_Analyst_Intern_Nikhil_Kumar_February2026[[#This Row],[Del Days]]&gt;15,"Slow")</f>
        <v>Slow</v>
      </c>
      <c r="AB268" t="s">
        <v>34</v>
      </c>
      <c r="AC268">
        <f>IF(Data_Analyst_Intern_Nikhil_Kumar_February2026[[#This Row],[Status]]="RTO", 1,0)</f>
        <v>0</v>
      </c>
      <c r="AD268">
        <f>IF(Data_Analyst_Intern_Nikhil_Kumar_February2026[[#This Row],[Status]]="Delivered",1,0)</f>
        <v>1</v>
      </c>
      <c r="AE268" t="s">
        <v>47</v>
      </c>
      <c r="AF268">
        <f>IF(AND(Data_Analyst_Intern_Nikhil_Kumar_February2026[[#This Row],[Status]]="Delivered",Data_Analyst_Intern_Nikhil_Kumar_February2026[[#This Row],[Return?]]="Yes"),1,0)</f>
        <v>1</v>
      </c>
      <c r="AG268" t="s">
        <v>48</v>
      </c>
      <c r="AH268" s="1">
        <v>45681</v>
      </c>
      <c r="AI268" t="s">
        <v>49</v>
      </c>
    </row>
    <row r="269" spans="1:35" x14ac:dyDescent="0.3">
      <c r="A269" t="s">
        <v>1166</v>
      </c>
      <c r="B269" s="1">
        <v>45637</v>
      </c>
      <c r="C269" s="1" t="str">
        <f>TEXT(Data_Analyst_Intern_Nikhil_Kumar_February2026[[#This Row],[Order Date]], "mmmm")</f>
        <v>December</v>
      </c>
      <c r="D269" s="23">
        <f>WEEKNUM(Data_Analyst_Intern_Nikhil_Kumar_February2026[[#This Row],[Order Date]],2)</f>
        <v>50</v>
      </c>
      <c r="E269" s="23" t="str">
        <f>TEXT(Data_Analyst_Intern_Nikhil_Kumar_February2026[[#This Row],[Order Date]],"dddd")</f>
        <v>Wednesday</v>
      </c>
      <c r="F269" s="1">
        <v>45635</v>
      </c>
      <c r="G269" s="23" t="str">
        <f>TEXT(WEEKDAY(Data_Analyst_Intern_Nikhil_Kumar_February2026[[#This Row],[Order Date]],2), "dddd")</f>
        <v>Tuesday</v>
      </c>
      <c r="H269" t="s">
        <v>1167</v>
      </c>
      <c r="I269" t="s">
        <v>39</v>
      </c>
      <c r="J269" t="s">
        <v>1168</v>
      </c>
      <c r="K269" t="s">
        <v>62</v>
      </c>
      <c r="L269" t="s">
        <v>1169</v>
      </c>
      <c r="M269" s="2">
        <v>5599</v>
      </c>
      <c r="N269">
        <v>1</v>
      </c>
      <c r="O269" s="2">
        <v>5599</v>
      </c>
      <c r="P269" t="s">
        <v>995</v>
      </c>
      <c r="Q269">
        <v>20</v>
      </c>
      <c r="R269" s="4">
        <f>IFERROR(Data_Analyst_Intern_Nikhil_Kumar_February2026[[#This Row],[Total]]/Data_Analyst_Intern_Nikhil_Kumar_February2026[[#This Row],[Discount(%)]],0)</f>
        <v>279.95</v>
      </c>
      <c r="S269" s="2">
        <f>Data_Analyst_Intern_Nikhil_Kumar_February2026[[#This Row],[Total]]-Data_Analyst_Intern_Nikhil_Kumar_February2026[[#This Row],[Discount Amount]]</f>
        <v>5319.05</v>
      </c>
      <c r="T269" t="s">
        <v>56</v>
      </c>
      <c r="U269" t="s">
        <v>31</v>
      </c>
      <c r="V269" t="s">
        <v>172</v>
      </c>
      <c r="W269" t="s">
        <v>33</v>
      </c>
      <c r="X269" t="s">
        <v>32</v>
      </c>
      <c r="Y269" s="1">
        <v>45654</v>
      </c>
      <c r="Z269" s="3">
        <f>Data_Analyst_Intern_Nikhil_Kumar_February2026[[#This Row],[Del Date]]-Data_Analyst_Intern_Nikhil_Kumar_February2026[[#This Row],[Order Date]]</f>
        <v>17</v>
      </c>
      <c r="AA269" s="3" t="str" cm="1">
        <f t="array" ref="AA269">_xlfn.IFS(Data_Analyst_Intern_Nikhil_Kumar_February2026[[#This Row],[Del Days]]&lt;=7,"Fast",Data_Analyst_Intern_Nikhil_Kumar_February2026[[#This Row],[Del Days]]&lt;=15,"Standard",Data_Analyst_Intern_Nikhil_Kumar_February2026[[#This Row],[Del Days]]&gt;15,"Slow")</f>
        <v>Slow</v>
      </c>
      <c r="AB269" t="s">
        <v>34</v>
      </c>
      <c r="AC269">
        <f>IF(Data_Analyst_Intern_Nikhil_Kumar_February2026[[#This Row],[Status]]="RTO", 1,0)</f>
        <v>0</v>
      </c>
      <c r="AD269">
        <f>IF(Data_Analyst_Intern_Nikhil_Kumar_February2026[[#This Row],[Status]]="Delivered",1,0)</f>
        <v>1</v>
      </c>
      <c r="AE269" t="s">
        <v>47</v>
      </c>
      <c r="AF269">
        <f>IF(AND(Data_Analyst_Intern_Nikhil_Kumar_February2026[[#This Row],[Status]]="Delivered",Data_Analyst_Intern_Nikhil_Kumar_February2026[[#This Row],[Return?]]="Yes"),1,0)</f>
        <v>1</v>
      </c>
      <c r="AG269" t="s">
        <v>80</v>
      </c>
      <c r="AH269" s="1">
        <v>45682</v>
      </c>
      <c r="AI269" t="s">
        <v>49</v>
      </c>
    </row>
    <row r="270" spans="1:35" x14ac:dyDescent="0.3">
      <c r="A270" t="s">
        <v>1170</v>
      </c>
      <c r="B270" s="1">
        <v>45637</v>
      </c>
      <c r="C270" s="1" t="str">
        <f>TEXT(Data_Analyst_Intern_Nikhil_Kumar_February2026[[#This Row],[Order Date]], "mmmm")</f>
        <v>December</v>
      </c>
      <c r="D270" s="23">
        <f>WEEKNUM(Data_Analyst_Intern_Nikhil_Kumar_February2026[[#This Row],[Order Date]],2)</f>
        <v>50</v>
      </c>
      <c r="E270" s="23" t="str">
        <f>TEXT(Data_Analyst_Intern_Nikhil_Kumar_February2026[[#This Row],[Order Date]],"dddd")</f>
        <v>Wednesday</v>
      </c>
      <c r="F270" s="1">
        <v>45635</v>
      </c>
      <c r="G270" s="23" t="str">
        <f>TEXT(WEEKDAY(Data_Analyst_Intern_Nikhil_Kumar_February2026[[#This Row],[Order Date]],2), "dddd")</f>
        <v>Tuesday</v>
      </c>
      <c r="H270" t="s">
        <v>1171</v>
      </c>
      <c r="I270" t="s">
        <v>25</v>
      </c>
      <c r="J270" t="s">
        <v>1172</v>
      </c>
      <c r="K270" t="s">
        <v>72</v>
      </c>
      <c r="L270" t="s">
        <v>1173</v>
      </c>
      <c r="M270" s="2">
        <v>399</v>
      </c>
      <c r="N270">
        <v>3</v>
      </c>
      <c r="O270" s="2">
        <v>1197</v>
      </c>
      <c r="P270" t="s">
        <v>29</v>
      </c>
      <c r="Q270">
        <v>0</v>
      </c>
      <c r="R270" s="4">
        <f>IFERROR(Data_Analyst_Intern_Nikhil_Kumar_February2026[[#This Row],[Total]]/Data_Analyst_Intern_Nikhil_Kumar_February2026[[#This Row],[Discount(%)]],0)</f>
        <v>0</v>
      </c>
      <c r="S270" s="2">
        <f>Data_Analyst_Intern_Nikhil_Kumar_February2026[[#This Row],[Total]]-Data_Analyst_Intern_Nikhil_Kumar_February2026[[#This Row],[Discount Amount]]</f>
        <v>1197</v>
      </c>
      <c r="T270" t="s">
        <v>112</v>
      </c>
      <c r="U270" t="s">
        <v>45</v>
      </c>
      <c r="V270" t="s">
        <v>177</v>
      </c>
      <c r="W270" t="s">
        <v>68</v>
      </c>
      <c r="X270" t="s">
        <v>57</v>
      </c>
      <c r="Y270" s="1">
        <v>45653</v>
      </c>
      <c r="Z270" s="3">
        <f>Data_Analyst_Intern_Nikhil_Kumar_February2026[[#This Row],[Del Date]]-Data_Analyst_Intern_Nikhil_Kumar_February2026[[#This Row],[Order Date]]</f>
        <v>16</v>
      </c>
      <c r="AA270" s="3" t="str" cm="1">
        <f t="array" ref="AA270">_xlfn.IFS(Data_Analyst_Intern_Nikhil_Kumar_February2026[[#This Row],[Del Days]]&lt;=7,"Fast",Data_Analyst_Intern_Nikhil_Kumar_February2026[[#This Row],[Del Days]]&lt;=15,"Standard",Data_Analyst_Intern_Nikhil_Kumar_February2026[[#This Row],[Del Days]]&gt;15,"Slow")</f>
        <v>Slow</v>
      </c>
      <c r="AB270" t="s">
        <v>34</v>
      </c>
      <c r="AC270">
        <f>IF(Data_Analyst_Intern_Nikhil_Kumar_February2026[[#This Row],[Status]]="RTO", 1,0)</f>
        <v>0</v>
      </c>
      <c r="AD270">
        <f>IF(Data_Analyst_Intern_Nikhil_Kumar_February2026[[#This Row],[Status]]="Delivered",1,0)</f>
        <v>1</v>
      </c>
      <c r="AE270" t="s">
        <v>35</v>
      </c>
      <c r="AF270">
        <f>IF(AND(Data_Analyst_Intern_Nikhil_Kumar_February2026[[#This Row],[Status]]="Delivered",Data_Analyst_Intern_Nikhil_Kumar_February2026[[#This Row],[Return?]]="Yes"),1,0)</f>
        <v>0</v>
      </c>
      <c r="AG270" t="s">
        <v>29</v>
      </c>
      <c r="AI270" t="s">
        <v>36</v>
      </c>
    </row>
    <row r="271" spans="1:35" x14ac:dyDescent="0.3">
      <c r="A271" t="s">
        <v>1174</v>
      </c>
      <c r="B271" s="1">
        <v>45638</v>
      </c>
      <c r="C271" s="1" t="str">
        <f>TEXT(Data_Analyst_Intern_Nikhil_Kumar_February2026[[#This Row],[Order Date]], "mmmm")</f>
        <v>December</v>
      </c>
      <c r="D271" s="23">
        <f>WEEKNUM(Data_Analyst_Intern_Nikhil_Kumar_February2026[[#This Row],[Order Date]],2)</f>
        <v>50</v>
      </c>
      <c r="E271" s="23" t="str">
        <f>TEXT(Data_Analyst_Intern_Nikhil_Kumar_February2026[[#This Row],[Order Date]],"dddd")</f>
        <v>Thursday</v>
      </c>
      <c r="F271" s="1">
        <v>45635</v>
      </c>
      <c r="G271" s="23" t="str">
        <f>TEXT(WEEKDAY(Data_Analyst_Intern_Nikhil_Kumar_February2026[[#This Row],[Order Date]],2), "dddd")</f>
        <v>Wednesday</v>
      </c>
      <c r="H271" t="s">
        <v>1175</v>
      </c>
      <c r="I271" t="s">
        <v>25</v>
      </c>
      <c r="J271" t="s">
        <v>1176</v>
      </c>
      <c r="K271" t="s">
        <v>27</v>
      </c>
      <c r="L271" t="s">
        <v>1177</v>
      </c>
      <c r="M271" s="2">
        <v>2199</v>
      </c>
      <c r="N271">
        <v>1</v>
      </c>
      <c r="O271" s="2">
        <v>2199</v>
      </c>
      <c r="P271" t="s">
        <v>29</v>
      </c>
      <c r="Q271">
        <v>0</v>
      </c>
      <c r="R271" s="4">
        <f>IFERROR(Data_Analyst_Intern_Nikhil_Kumar_February2026[[#This Row],[Total]]/Data_Analyst_Intern_Nikhil_Kumar_February2026[[#This Row],[Discount(%)]],0)</f>
        <v>0</v>
      </c>
      <c r="S271" s="2">
        <f>Data_Analyst_Intern_Nikhil_Kumar_February2026[[#This Row],[Total]]-Data_Analyst_Intern_Nikhil_Kumar_February2026[[#This Row],[Discount Amount]]</f>
        <v>2199</v>
      </c>
      <c r="T271" t="s">
        <v>65</v>
      </c>
      <c r="U271" t="s">
        <v>66</v>
      </c>
      <c r="V271" t="s">
        <v>182</v>
      </c>
      <c r="W271" t="s">
        <v>183</v>
      </c>
      <c r="X271" t="s">
        <v>57</v>
      </c>
      <c r="Y271" s="1">
        <v>45654</v>
      </c>
      <c r="Z271" s="3">
        <f>Data_Analyst_Intern_Nikhil_Kumar_February2026[[#This Row],[Del Date]]-Data_Analyst_Intern_Nikhil_Kumar_February2026[[#This Row],[Order Date]]</f>
        <v>16</v>
      </c>
      <c r="AA271" s="3" t="str" cm="1">
        <f t="array" ref="AA271">_xlfn.IFS(Data_Analyst_Intern_Nikhil_Kumar_February2026[[#This Row],[Del Days]]&lt;=7,"Fast",Data_Analyst_Intern_Nikhil_Kumar_February2026[[#This Row],[Del Days]]&lt;=15,"Standard",Data_Analyst_Intern_Nikhil_Kumar_February2026[[#This Row],[Del Days]]&gt;15,"Slow")</f>
        <v>Slow</v>
      </c>
      <c r="AB271" t="s">
        <v>34</v>
      </c>
      <c r="AC271">
        <f>IF(Data_Analyst_Intern_Nikhil_Kumar_February2026[[#This Row],[Status]]="RTO", 1,0)</f>
        <v>0</v>
      </c>
      <c r="AD271">
        <f>IF(Data_Analyst_Intern_Nikhil_Kumar_February2026[[#This Row],[Status]]="Delivered",1,0)</f>
        <v>1</v>
      </c>
      <c r="AE271" t="s">
        <v>47</v>
      </c>
      <c r="AF271">
        <f>IF(AND(Data_Analyst_Intern_Nikhil_Kumar_February2026[[#This Row],[Status]]="Delivered",Data_Analyst_Intern_Nikhil_Kumar_February2026[[#This Row],[Return?]]="Yes"),1,0)</f>
        <v>1</v>
      </c>
      <c r="AG271" t="s">
        <v>69</v>
      </c>
      <c r="AH271" s="1">
        <v>45680</v>
      </c>
      <c r="AI271" t="s">
        <v>49</v>
      </c>
    </row>
    <row r="272" spans="1:35" x14ac:dyDescent="0.3">
      <c r="A272" t="s">
        <v>1178</v>
      </c>
      <c r="B272" s="1">
        <v>45638</v>
      </c>
      <c r="C272" s="1" t="str">
        <f>TEXT(Data_Analyst_Intern_Nikhil_Kumar_February2026[[#This Row],[Order Date]], "mmmm")</f>
        <v>December</v>
      </c>
      <c r="D272" s="23">
        <f>WEEKNUM(Data_Analyst_Intern_Nikhil_Kumar_February2026[[#This Row],[Order Date]],2)</f>
        <v>50</v>
      </c>
      <c r="E272" s="23" t="str">
        <f>TEXT(Data_Analyst_Intern_Nikhil_Kumar_February2026[[#This Row],[Order Date]],"dddd")</f>
        <v>Thursday</v>
      </c>
      <c r="F272" s="1">
        <v>45635</v>
      </c>
      <c r="G272" s="23" t="str">
        <f>TEXT(WEEKDAY(Data_Analyst_Intern_Nikhil_Kumar_February2026[[#This Row],[Order Date]],2), "dddd")</f>
        <v>Wednesday</v>
      </c>
      <c r="H272" t="s">
        <v>1179</v>
      </c>
      <c r="I272" t="s">
        <v>25</v>
      </c>
      <c r="J272" t="s">
        <v>1180</v>
      </c>
      <c r="K272" t="s">
        <v>41</v>
      </c>
      <c r="L272" t="s">
        <v>1181</v>
      </c>
      <c r="M272" s="2">
        <v>4299</v>
      </c>
      <c r="N272">
        <v>1</v>
      </c>
      <c r="O272" s="2">
        <v>4299</v>
      </c>
      <c r="P272" t="s">
        <v>995</v>
      </c>
      <c r="Q272">
        <v>20</v>
      </c>
      <c r="R272" s="4">
        <f>IFERROR(Data_Analyst_Intern_Nikhil_Kumar_February2026[[#This Row],[Total]]/Data_Analyst_Intern_Nikhil_Kumar_February2026[[#This Row],[Discount(%)]],0)</f>
        <v>214.95</v>
      </c>
      <c r="S272" s="2">
        <f>Data_Analyst_Intern_Nikhil_Kumar_February2026[[#This Row],[Total]]-Data_Analyst_Intern_Nikhil_Kumar_February2026[[#This Row],[Discount Amount]]</f>
        <v>4084.05</v>
      </c>
      <c r="T272" t="s">
        <v>44</v>
      </c>
      <c r="U272" t="s">
        <v>31</v>
      </c>
      <c r="V272" t="s">
        <v>188</v>
      </c>
      <c r="W272" t="s">
        <v>189</v>
      </c>
      <c r="X272" t="s">
        <v>57</v>
      </c>
      <c r="Y272" s="1">
        <v>45655</v>
      </c>
      <c r="Z272" s="3">
        <f>Data_Analyst_Intern_Nikhil_Kumar_February2026[[#This Row],[Del Date]]-Data_Analyst_Intern_Nikhil_Kumar_February2026[[#This Row],[Order Date]]</f>
        <v>17</v>
      </c>
      <c r="AA272" s="3" t="str" cm="1">
        <f t="array" ref="AA272">_xlfn.IFS(Data_Analyst_Intern_Nikhil_Kumar_February2026[[#This Row],[Del Days]]&lt;=7,"Fast",Data_Analyst_Intern_Nikhil_Kumar_February2026[[#This Row],[Del Days]]&lt;=15,"Standard",Data_Analyst_Intern_Nikhil_Kumar_February2026[[#This Row],[Del Days]]&gt;15,"Slow")</f>
        <v>Slow</v>
      </c>
      <c r="AB272" t="s">
        <v>34</v>
      </c>
      <c r="AC272">
        <f>IF(Data_Analyst_Intern_Nikhil_Kumar_February2026[[#This Row],[Status]]="RTO", 1,0)</f>
        <v>0</v>
      </c>
      <c r="AD272">
        <f>IF(Data_Analyst_Intern_Nikhil_Kumar_February2026[[#This Row],[Status]]="Delivered",1,0)</f>
        <v>1</v>
      </c>
      <c r="AE272" t="s">
        <v>35</v>
      </c>
      <c r="AF272">
        <f>IF(AND(Data_Analyst_Intern_Nikhil_Kumar_February2026[[#This Row],[Status]]="Delivered",Data_Analyst_Intern_Nikhil_Kumar_February2026[[#This Row],[Return?]]="Yes"),1,0)</f>
        <v>0</v>
      </c>
      <c r="AG272" t="s">
        <v>29</v>
      </c>
      <c r="AI272" t="s">
        <v>36</v>
      </c>
    </row>
    <row r="273" spans="1:35" x14ac:dyDescent="0.3">
      <c r="A273" t="s">
        <v>1182</v>
      </c>
      <c r="B273" s="1">
        <v>45638</v>
      </c>
      <c r="C273" s="1" t="str">
        <f>TEXT(Data_Analyst_Intern_Nikhil_Kumar_February2026[[#This Row],[Order Date]], "mmmm")</f>
        <v>December</v>
      </c>
      <c r="D273" s="23">
        <f>WEEKNUM(Data_Analyst_Intern_Nikhil_Kumar_February2026[[#This Row],[Order Date]],2)</f>
        <v>50</v>
      </c>
      <c r="E273" s="23" t="str">
        <f>TEXT(Data_Analyst_Intern_Nikhil_Kumar_February2026[[#This Row],[Order Date]],"dddd")</f>
        <v>Thursday</v>
      </c>
      <c r="F273" s="1">
        <v>45635</v>
      </c>
      <c r="G273" s="23" t="str">
        <f>TEXT(WEEKDAY(Data_Analyst_Intern_Nikhil_Kumar_February2026[[#This Row],[Order Date]],2), "dddd")</f>
        <v>Wednesday</v>
      </c>
      <c r="H273" t="s">
        <v>1183</v>
      </c>
      <c r="I273" t="s">
        <v>25</v>
      </c>
      <c r="J273" t="s">
        <v>1184</v>
      </c>
      <c r="K273" t="s">
        <v>54</v>
      </c>
      <c r="L273" t="s">
        <v>1185</v>
      </c>
      <c r="M273" s="2">
        <v>2399</v>
      </c>
      <c r="N273">
        <v>1</v>
      </c>
      <c r="O273" s="2">
        <v>2399</v>
      </c>
      <c r="P273" t="s">
        <v>29</v>
      </c>
      <c r="Q273">
        <v>0</v>
      </c>
      <c r="R273" s="4">
        <f>IFERROR(Data_Analyst_Intern_Nikhil_Kumar_February2026[[#This Row],[Total]]/Data_Analyst_Intern_Nikhil_Kumar_February2026[[#This Row],[Discount(%)]],0)</f>
        <v>0</v>
      </c>
      <c r="S273" s="2">
        <f>Data_Analyst_Intern_Nikhil_Kumar_February2026[[#This Row],[Total]]-Data_Analyst_Intern_Nikhil_Kumar_February2026[[#This Row],[Discount Amount]]</f>
        <v>2399</v>
      </c>
      <c r="T273" t="s">
        <v>30</v>
      </c>
      <c r="U273" t="s">
        <v>45</v>
      </c>
      <c r="V273" t="s">
        <v>194</v>
      </c>
      <c r="W273" t="s">
        <v>183</v>
      </c>
      <c r="X273" t="s">
        <v>57</v>
      </c>
      <c r="Y273" s="1">
        <v>45655</v>
      </c>
      <c r="Z273" s="3">
        <f>Data_Analyst_Intern_Nikhil_Kumar_February2026[[#This Row],[Del Date]]-Data_Analyst_Intern_Nikhil_Kumar_February2026[[#This Row],[Order Date]]</f>
        <v>17</v>
      </c>
      <c r="AA273" s="3" t="str" cm="1">
        <f t="array" ref="AA273">_xlfn.IFS(Data_Analyst_Intern_Nikhil_Kumar_February2026[[#This Row],[Del Days]]&lt;=7,"Fast",Data_Analyst_Intern_Nikhil_Kumar_February2026[[#This Row],[Del Days]]&lt;=15,"Standard",Data_Analyst_Intern_Nikhil_Kumar_February2026[[#This Row],[Del Days]]&gt;15,"Slow")</f>
        <v>Slow</v>
      </c>
      <c r="AB273" t="s">
        <v>34</v>
      </c>
      <c r="AC273">
        <f>IF(Data_Analyst_Intern_Nikhil_Kumar_February2026[[#This Row],[Status]]="RTO", 1,0)</f>
        <v>0</v>
      </c>
      <c r="AD273">
        <f>IF(Data_Analyst_Intern_Nikhil_Kumar_February2026[[#This Row],[Status]]="Delivered",1,0)</f>
        <v>1</v>
      </c>
      <c r="AE273" t="s">
        <v>47</v>
      </c>
      <c r="AF273">
        <f>IF(AND(Data_Analyst_Intern_Nikhil_Kumar_February2026[[#This Row],[Status]]="Delivered",Data_Analyst_Intern_Nikhil_Kumar_February2026[[#This Row],[Return?]]="Yes"),1,0)</f>
        <v>1</v>
      </c>
      <c r="AG273" t="s">
        <v>105</v>
      </c>
      <c r="AH273" s="1">
        <v>45683</v>
      </c>
      <c r="AI273" t="s">
        <v>49</v>
      </c>
    </row>
    <row r="274" spans="1:35" x14ac:dyDescent="0.3">
      <c r="A274" t="s">
        <v>1186</v>
      </c>
      <c r="B274" s="1">
        <v>45638</v>
      </c>
      <c r="C274" s="1" t="str">
        <f>TEXT(Data_Analyst_Intern_Nikhil_Kumar_February2026[[#This Row],[Order Date]], "mmmm")</f>
        <v>December</v>
      </c>
      <c r="D274" s="23">
        <f>WEEKNUM(Data_Analyst_Intern_Nikhil_Kumar_February2026[[#This Row],[Order Date]],2)</f>
        <v>50</v>
      </c>
      <c r="E274" s="23" t="str">
        <f>TEXT(Data_Analyst_Intern_Nikhil_Kumar_February2026[[#This Row],[Order Date]],"dddd")</f>
        <v>Thursday</v>
      </c>
      <c r="F274" s="1">
        <v>45635</v>
      </c>
      <c r="G274" s="23" t="str">
        <f>TEXT(WEEKDAY(Data_Analyst_Intern_Nikhil_Kumar_February2026[[#This Row],[Order Date]],2), "dddd")</f>
        <v>Wednesday</v>
      </c>
      <c r="H274" t="s">
        <v>1187</v>
      </c>
      <c r="I274" t="s">
        <v>39</v>
      </c>
      <c r="J274" t="s">
        <v>1188</v>
      </c>
      <c r="K274" t="s">
        <v>62</v>
      </c>
      <c r="L274" t="s">
        <v>1189</v>
      </c>
      <c r="M274" s="2">
        <v>6299</v>
      </c>
      <c r="N274">
        <v>1</v>
      </c>
      <c r="O274" s="2">
        <v>6299</v>
      </c>
      <c r="P274" t="s">
        <v>29</v>
      </c>
      <c r="Q274">
        <v>0</v>
      </c>
      <c r="R274" s="4">
        <f>IFERROR(Data_Analyst_Intern_Nikhil_Kumar_February2026[[#This Row],[Total]]/Data_Analyst_Intern_Nikhil_Kumar_February2026[[#This Row],[Discount(%)]],0)</f>
        <v>0</v>
      </c>
      <c r="S274" s="2">
        <f>Data_Analyst_Intern_Nikhil_Kumar_February2026[[#This Row],[Total]]-Data_Analyst_Intern_Nikhil_Kumar_February2026[[#This Row],[Discount Amount]]</f>
        <v>6299</v>
      </c>
      <c r="T274" t="s">
        <v>56</v>
      </c>
      <c r="U274" t="s">
        <v>66</v>
      </c>
      <c r="V274" t="s">
        <v>199</v>
      </c>
      <c r="W274" t="s">
        <v>58</v>
      </c>
      <c r="X274" t="s">
        <v>57</v>
      </c>
      <c r="Y274" s="1"/>
      <c r="Z274" s="1">
        <f>Data_Analyst_Intern_Nikhil_Kumar_February2026[[#This Row],[Del Date]]-Data_Analyst_Intern_Nikhil_Kumar_February2026[[#This Row],[Order Date]]</f>
        <v>-45638</v>
      </c>
      <c r="AA274" s="1" t="str" cm="1">
        <f t="array" ref="AA274">_xlfn.IFS(Data_Analyst_Intern_Nikhil_Kumar_February2026[[#This Row],[Del Days]]&lt;=7,"Fast",Data_Analyst_Intern_Nikhil_Kumar_February2026[[#This Row],[Del Days]]&lt;=15,"Standard",Data_Analyst_Intern_Nikhil_Kumar_February2026[[#This Row],[Del Days]]&gt;15,"Slow")</f>
        <v>Fast</v>
      </c>
      <c r="AB274" t="s">
        <v>121</v>
      </c>
      <c r="AC274">
        <f>IF(Data_Analyst_Intern_Nikhil_Kumar_February2026[[#This Row],[Status]]="RTO", 1,0)</f>
        <v>1</v>
      </c>
      <c r="AD274">
        <f>IF(Data_Analyst_Intern_Nikhil_Kumar_February2026[[#This Row],[Status]]="Delivered",1,0)</f>
        <v>0</v>
      </c>
      <c r="AE274" t="s">
        <v>35</v>
      </c>
      <c r="AF274">
        <f>IF(AND(Data_Analyst_Intern_Nikhil_Kumar_February2026[[#This Row],[Status]]="Delivered",Data_Analyst_Intern_Nikhil_Kumar_February2026[[#This Row],[Return?]]="Yes"),1,0)</f>
        <v>0</v>
      </c>
      <c r="AG274" t="s">
        <v>29</v>
      </c>
      <c r="AI274" t="s">
        <v>36</v>
      </c>
    </row>
    <row r="275" spans="1:35" x14ac:dyDescent="0.3">
      <c r="A275" t="s">
        <v>1190</v>
      </c>
      <c r="B275" s="1">
        <v>45639</v>
      </c>
      <c r="C275" s="1" t="str">
        <f>TEXT(Data_Analyst_Intern_Nikhil_Kumar_February2026[[#This Row],[Order Date]], "mmmm")</f>
        <v>December</v>
      </c>
      <c r="D275" s="23">
        <f>WEEKNUM(Data_Analyst_Intern_Nikhil_Kumar_February2026[[#This Row],[Order Date]],2)</f>
        <v>50</v>
      </c>
      <c r="E275" s="23" t="str">
        <f>TEXT(Data_Analyst_Intern_Nikhil_Kumar_February2026[[#This Row],[Order Date]],"dddd")</f>
        <v>Friday</v>
      </c>
      <c r="F275" s="1">
        <v>45635</v>
      </c>
      <c r="G275" s="23" t="str">
        <f>TEXT(WEEKDAY(Data_Analyst_Intern_Nikhil_Kumar_February2026[[#This Row],[Order Date]],2), "dddd")</f>
        <v>Thursday</v>
      </c>
      <c r="H275" t="s">
        <v>1191</v>
      </c>
      <c r="I275" t="s">
        <v>25</v>
      </c>
      <c r="J275" t="s">
        <v>1192</v>
      </c>
      <c r="K275" t="s">
        <v>72</v>
      </c>
      <c r="L275" t="s">
        <v>1193</v>
      </c>
      <c r="M275" s="2">
        <v>599</v>
      </c>
      <c r="N275">
        <v>2</v>
      </c>
      <c r="O275" s="2">
        <v>1198</v>
      </c>
      <c r="P275" t="s">
        <v>995</v>
      </c>
      <c r="Q275">
        <v>20</v>
      </c>
      <c r="R275" s="4">
        <f>IFERROR(Data_Analyst_Intern_Nikhil_Kumar_February2026[[#This Row],[Total]]/Data_Analyst_Intern_Nikhil_Kumar_February2026[[#This Row],[Discount(%)]],0)</f>
        <v>59.9</v>
      </c>
      <c r="S275" s="2">
        <f>Data_Analyst_Intern_Nikhil_Kumar_February2026[[#This Row],[Total]]-Data_Analyst_Intern_Nikhil_Kumar_February2026[[#This Row],[Discount Amount]]</f>
        <v>1138.0999999999999</v>
      </c>
      <c r="T275" t="s">
        <v>112</v>
      </c>
      <c r="U275" t="s">
        <v>31</v>
      </c>
      <c r="V275" t="s">
        <v>204</v>
      </c>
      <c r="W275" t="s">
        <v>98</v>
      </c>
      <c r="X275" t="s">
        <v>32</v>
      </c>
      <c r="Y275" s="1">
        <v>45655</v>
      </c>
      <c r="Z275" s="3">
        <f>Data_Analyst_Intern_Nikhil_Kumar_February2026[[#This Row],[Del Date]]-Data_Analyst_Intern_Nikhil_Kumar_February2026[[#This Row],[Order Date]]</f>
        <v>16</v>
      </c>
      <c r="AA275" s="3" t="str" cm="1">
        <f t="array" ref="AA275">_xlfn.IFS(Data_Analyst_Intern_Nikhil_Kumar_February2026[[#This Row],[Del Days]]&lt;=7,"Fast",Data_Analyst_Intern_Nikhil_Kumar_February2026[[#This Row],[Del Days]]&lt;=15,"Standard",Data_Analyst_Intern_Nikhil_Kumar_February2026[[#This Row],[Del Days]]&gt;15,"Slow")</f>
        <v>Slow</v>
      </c>
      <c r="AB275" t="s">
        <v>34</v>
      </c>
      <c r="AC275">
        <f>IF(Data_Analyst_Intern_Nikhil_Kumar_February2026[[#This Row],[Status]]="RTO", 1,0)</f>
        <v>0</v>
      </c>
      <c r="AD275">
        <f>IF(Data_Analyst_Intern_Nikhil_Kumar_February2026[[#This Row],[Status]]="Delivered",1,0)</f>
        <v>1</v>
      </c>
      <c r="AE275" t="s">
        <v>35</v>
      </c>
      <c r="AF275">
        <f>IF(AND(Data_Analyst_Intern_Nikhil_Kumar_February2026[[#This Row],[Status]]="Delivered",Data_Analyst_Intern_Nikhil_Kumar_February2026[[#This Row],[Return?]]="Yes"),1,0)</f>
        <v>0</v>
      </c>
      <c r="AG275" t="s">
        <v>29</v>
      </c>
      <c r="AI275" t="s">
        <v>36</v>
      </c>
    </row>
    <row r="276" spans="1:35" x14ac:dyDescent="0.3">
      <c r="A276" t="s">
        <v>1194</v>
      </c>
      <c r="B276" s="1">
        <v>45639</v>
      </c>
      <c r="C276" s="1" t="str">
        <f>TEXT(Data_Analyst_Intern_Nikhil_Kumar_February2026[[#This Row],[Order Date]], "mmmm")</f>
        <v>December</v>
      </c>
      <c r="D276" s="23">
        <f>WEEKNUM(Data_Analyst_Intern_Nikhil_Kumar_February2026[[#This Row],[Order Date]],2)</f>
        <v>50</v>
      </c>
      <c r="E276" s="23" t="str">
        <f>TEXT(Data_Analyst_Intern_Nikhil_Kumar_February2026[[#This Row],[Order Date]],"dddd")</f>
        <v>Friday</v>
      </c>
      <c r="F276" s="1">
        <v>45635</v>
      </c>
      <c r="G276" s="23" t="str">
        <f>TEXT(WEEKDAY(Data_Analyst_Intern_Nikhil_Kumar_February2026[[#This Row],[Order Date]],2), "dddd")</f>
        <v>Thursday</v>
      </c>
      <c r="H276" t="s">
        <v>1195</v>
      </c>
      <c r="I276" t="s">
        <v>25</v>
      </c>
      <c r="J276" t="s">
        <v>1196</v>
      </c>
      <c r="K276" t="s">
        <v>27</v>
      </c>
      <c r="L276" t="s">
        <v>1197</v>
      </c>
      <c r="M276" s="2">
        <v>2399</v>
      </c>
      <c r="N276">
        <v>1</v>
      </c>
      <c r="O276" s="2">
        <v>2399</v>
      </c>
      <c r="P276" t="s">
        <v>29</v>
      </c>
      <c r="Q276">
        <v>0</v>
      </c>
      <c r="R276" s="4">
        <f>IFERROR(Data_Analyst_Intern_Nikhil_Kumar_February2026[[#This Row],[Total]]/Data_Analyst_Intern_Nikhil_Kumar_February2026[[#This Row],[Discount(%)]],0)</f>
        <v>0</v>
      </c>
      <c r="S276" s="2">
        <f>Data_Analyst_Intern_Nikhil_Kumar_February2026[[#This Row],[Total]]-Data_Analyst_Intern_Nikhil_Kumar_February2026[[#This Row],[Discount Amount]]</f>
        <v>2399</v>
      </c>
      <c r="T276" t="s">
        <v>65</v>
      </c>
      <c r="U276" t="s">
        <v>45</v>
      </c>
      <c r="V276" t="s">
        <v>209</v>
      </c>
      <c r="W276" t="s">
        <v>98</v>
      </c>
      <c r="X276" t="s">
        <v>32</v>
      </c>
      <c r="Y276" s="1">
        <v>45656</v>
      </c>
      <c r="Z276" s="3">
        <f>Data_Analyst_Intern_Nikhil_Kumar_February2026[[#This Row],[Del Date]]-Data_Analyst_Intern_Nikhil_Kumar_February2026[[#This Row],[Order Date]]</f>
        <v>17</v>
      </c>
      <c r="AA276" s="3" t="str" cm="1">
        <f t="array" ref="AA276">_xlfn.IFS(Data_Analyst_Intern_Nikhil_Kumar_February2026[[#This Row],[Del Days]]&lt;=7,"Fast",Data_Analyst_Intern_Nikhil_Kumar_February2026[[#This Row],[Del Days]]&lt;=15,"Standard",Data_Analyst_Intern_Nikhil_Kumar_February2026[[#This Row],[Del Days]]&gt;15,"Slow")</f>
        <v>Slow</v>
      </c>
      <c r="AB276" t="s">
        <v>34</v>
      </c>
      <c r="AC276">
        <f>IF(Data_Analyst_Intern_Nikhil_Kumar_February2026[[#This Row],[Status]]="RTO", 1,0)</f>
        <v>0</v>
      </c>
      <c r="AD276">
        <f>IF(Data_Analyst_Intern_Nikhil_Kumar_February2026[[#This Row],[Status]]="Delivered",1,0)</f>
        <v>1</v>
      </c>
      <c r="AE276" t="s">
        <v>47</v>
      </c>
      <c r="AF276">
        <f>IF(AND(Data_Analyst_Intern_Nikhil_Kumar_February2026[[#This Row],[Status]]="Delivered",Data_Analyst_Intern_Nikhil_Kumar_February2026[[#This Row],[Return?]]="Yes"),1,0)</f>
        <v>1</v>
      </c>
      <c r="AG276" t="s">
        <v>48</v>
      </c>
      <c r="AH276" s="1">
        <v>45684</v>
      </c>
      <c r="AI276" t="s">
        <v>49</v>
      </c>
    </row>
    <row r="277" spans="1:35" x14ac:dyDescent="0.3">
      <c r="A277" t="s">
        <v>1198</v>
      </c>
      <c r="B277" s="1">
        <v>45639</v>
      </c>
      <c r="C277" s="1" t="str">
        <f>TEXT(Data_Analyst_Intern_Nikhil_Kumar_February2026[[#This Row],[Order Date]], "mmmm")</f>
        <v>December</v>
      </c>
      <c r="D277" s="23">
        <f>WEEKNUM(Data_Analyst_Intern_Nikhil_Kumar_February2026[[#This Row],[Order Date]],2)</f>
        <v>50</v>
      </c>
      <c r="E277" s="23" t="str">
        <f>TEXT(Data_Analyst_Intern_Nikhil_Kumar_February2026[[#This Row],[Order Date]],"dddd")</f>
        <v>Friday</v>
      </c>
      <c r="F277" s="1">
        <v>45635</v>
      </c>
      <c r="G277" s="23" t="str">
        <f>TEXT(WEEKDAY(Data_Analyst_Intern_Nikhil_Kumar_February2026[[#This Row],[Order Date]],2), "dddd")</f>
        <v>Thursday</v>
      </c>
      <c r="H277" t="s">
        <v>1199</v>
      </c>
      <c r="I277" t="s">
        <v>25</v>
      </c>
      <c r="J277" t="s">
        <v>1200</v>
      </c>
      <c r="K277" t="s">
        <v>41</v>
      </c>
      <c r="L277" t="s">
        <v>1201</v>
      </c>
      <c r="M277" s="2">
        <v>5999</v>
      </c>
      <c r="N277">
        <v>1</v>
      </c>
      <c r="O277" s="2">
        <v>5999</v>
      </c>
      <c r="P277" t="s">
        <v>29</v>
      </c>
      <c r="Q277">
        <v>0</v>
      </c>
      <c r="R277" s="4">
        <f>IFERROR(Data_Analyst_Intern_Nikhil_Kumar_February2026[[#This Row],[Total]]/Data_Analyst_Intern_Nikhil_Kumar_February2026[[#This Row],[Discount(%)]],0)</f>
        <v>0</v>
      </c>
      <c r="S277" s="2">
        <f>Data_Analyst_Intern_Nikhil_Kumar_February2026[[#This Row],[Total]]-Data_Analyst_Intern_Nikhil_Kumar_February2026[[#This Row],[Discount Amount]]</f>
        <v>5999</v>
      </c>
      <c r="T277" t="s">
        <v>44</v>
      </c>
      <c r="U277" t="s">
        <v>66</v>
      </c>
      <c r="V277" t="s">
        <v>214</v>
      </c>
      <c r="W277" t="s">
        <v>114</v>
      </c>
      <c r="X277" t="s">
        <v>46</v>
      </c>
      <c r="Y277" s="1">
        <v>45657</v>
      </c>
      <c r="Z277" s="3">
        <f>Data_Analyst_Intern_Nikhil_Kumar_February2026[[#This Row],[Del Date]]-Data_Analyst_Intern_Nikhil_Kumar_February2026[[#This Row],[Order Date]]</f>
        <v>18</v>
      </c>
      <c r="AA277" s="3" t="str" cm="1">
        <f t="array" ref="AA277">_xlfn.IFS(Data_Analyst_Intern_Nikhil_Kumar_February2026[[#This Row],[Del Days]]&lt;=7,"Fast",Data_Analyst_Intern_Nikhil_Kumar_February2026[[#This Row],[Del Days]]&lt;=15,"Standard",Data_Analyst_Intern_Nikhil_Kumar_February2026[[#This Row],[Del Days]]&gt;15,"Slow")</f>
        <v>Slow</v>
      </c>
      <c r="AB277" t="s">
        <v>34</v>
      </c>
      <c r="AC277">
        <f>IF(Data_Analyst_Intern_Nikhil_Kumar_February2026[[#This Row],[Status]]="RTO", 1,0)</f>
        <v>0</v>
      </c>
      <c r="AD277">
        <f>IF(Data_Analyst_Intern_Nikhil_Kumar_February2026[[#This Row],[Status]]="Delivered",1,0)</f>
        <v>1</v>
      </c>
      <c r="AE277" t="s">
        <v>47</v>
      </c>
      <c r="AF277">
        <f>IF(AND(Data_Analyst_Intern_Nikhil_Kumar_February2026[[#This Row],[Status]]="Delivered",Data_Analyst_Intern_Nikhil_Kumar_February2026[[#This Row],[Return?]]="Yes"),1,0)</f>
        <v>1</v>
      </c>
      <c r="AG277" t="s">
        <v>139</v>
      </c>
      <c r="AH277" s="1">
        <v>45685</v>
      </c>
      <c r="AI277" t="s">
        <v>49</v>
      </c>
    </row>
    <row r="278" spans="1:35" x14ac:dyDescent="0.3">
      <c r="A278" t="s">
        <v>1202</v>
      </c>
      <c r="B278" s="1">
        <v>45639</v>
      </c>
      <c r="C278" s="1" t="str">
        <f>TEXT(Data_Analyst_Intern_Nikhil_Kumar_February2026[[#This Row],[Order Date]], "mmmm")</f>
        <v>December</v>
      </c>
      <c r="D278" s="23">
        <f>WEEKNUM(Data_Analyst_Intern_Nikhil_Kumar_February2026[[#This Row],[Order Date]],2)</f>
        <v>50</v>
      </c>
      <c r="E278" s="23" t="str">
        <f>TEXT(Data_Analyst_Intern_Nikhil_Kumar_February2026[[#This Row],[Order Date]],"dddd")</f>
        <v>Friday</v>
      </c>
      <c r="F278" s="1">
        <v>45635</v>
      </c>
      <c r="G278" s="23" t="str">
        <f>TEXT(WEEKDAY(Data_Analyst_Intern_Nikhil_Kumar_February2026[[#This Row],[Order Date]],2), "dddd")</f>
        <v>Thursday</v>
      </c>
      <c r="H278" t="s">
        <v>1203</v>
      </c>
      <c r="I278" t="s">
        <v>25</v>
      </c>
      <c r="J278" t="s">
        <v>1204</v>
      </c>
      <c r="K278" t="s">
        <v>54</v>
      </c>
      <c r="L278" t="s">
        <v>1205</v>
      </c>
      <c r="M278" s="2">
        <v>1899</v>
      </c>
      <c r="N278">
        <v>1</v>
      </c>
      <c r="O278" s="2">
        <v>1899</v>
      </c>
      <c r="P278" t="s">
        <v>995</v>
      </c>
      <c r="Q278">
        <v>20</v>
      </c>
      <c r="R278" s="4">
        <f>IFERROR(Data_Analyst_Intern_Nikhil_Kumar_February2026[[#This Row],[Total]]/Data_Analyst_Intern_Nikhil_Kumar_February2026[[#This Row],[Discount(%)]],0)</f>
        <v>94.95</v>
      </c>
      <c r="S278" s="2">
        <f>Data_Analyst_Intern_Nikhil_Kumar_February2026[[#This Row],[Total]]-Data_Analyst_Intern_Nikhil_Kumar_February2026[[#This Row],[Discount Amount]]</f>
        <v>1804.05</v>
      </c>
      <c r="T278" t="s">
        <v>30</v>
      </c>
      <c r="U278" t="s">
        <v>31</v>
      </c>
      <c r="V278" t="s">
        <v>32</v>
      </c>
      <c r="W278" t="s">
        <v>33</v>
      </c>
      <c r="X278" t="s">
        <v>32</v>
      </c>
      <c r="Y278" s="1">
        <v>45656</v>
      </c>
      <c r="Z278" s="3">
        <f>Data_Analyst_Intern_Nikhil_Kumar_February2026[[#This Row],[Del Date]]-Data_Analyst_Intern_Nikhil_Kumar_February2026[[#This Row],[Order Date]]</f>
        <v>17</v>
      </c>
      <c r="AA278" s="3" t="str" cm="1">
        <f t="array" ref="AA278">_xlfn.IFS(Data_Analyst_Intern_Nikhil_Kumar_February2026[[#This Row],[Del Days]]&lt;=7,"Fast",Data_Analyst_Intern_Nikhil_Kumar_February2026[[#This Row],[Del Days]]&lt;=15,"Standard",Data_Analyst_Intern_Nikhil_Kumar_February2026[[#This Row],[Del Days]]&gt;15,"Slow")</f>
        <v>Slow</v>
      </c>
      <c r="AB278" t="s">
        <v>34</v>
      </c>
      <c r="AC278">
        <f>IF(Data_Analyst_Intern_Nikhil_Kumar_February2026[[#This Row],[Status]]="RTO", 1,0)</f>
        <v>0</v>
      </c>
      <c r="AD278">
        <f>IF(Data_Analyst_Intern_Nikhil_Kumar_February2026[[#This Row],[Status]]="Delivered",1,0)</f>
        <v>1</v>
      </c>
      <c r="AE278" t="s">
        <v>35</v>
      </c>
      <c r="AF278">
        <f>IF(AND(Data_Analyst_Intern_Nikhil_Kumar_February2026[[#This Row],[Status]]="Delivered",Data_Analyst_Intern_Nikhil_Kumar_February2026[[#This Row],[Return?]]="Yes"),1,0)</f>
        <v>0</v>
      </c>
      <c r="AG278" t="s">
        <v>29</v>
      </c>
      <c r="AI278" t="s">
        <v>36</v>
      </c>
    </row>
    <row r="279" spans="1:35" x14ac:dyDescent="0.3">
      <c r="A279" t="s">
        <v>1206</v>
      </c>
      <c r="B279" s="1">
        <v>45640</v>
      </c>
      <c r="C279" s="1" t="str">
        <f>TEXT(Data_Analyst_Intern_Nikhil_Kumar_February2026[[#This Row],[Order Date]], "mmmm")</f>
        <v>December</v>
      </c>
      <c r="D279" s="23">
        <f>WEEKNUM(Data_Analyst_Intern_Nikhil_Kumar_February2026[[#This Row],[Order Date]],2)</f>
        <v>50</v>
      </c>
      <c r="E279" s="23" t="str">
        <f>TEXT(Data_Analyst_Intern_Nikhil_Kumar_February2026[[#This Row],[Order Date]],"dddd")</f>
        <v>Saturday</v>
      </c>
      <c r="F279" s="1">
        <v>45635</v>
      </c>
      <c r="G279" s="23" t="str">
        <f>TEXT(WEEKDAY(Data_Analyst_Intern_Nikhil_Kumar_February2026[[#This Row],[Order Date]],2), "dddd")</f>
        <v>Friday</v>
      </c>
      <c r="H279" t="s">
        <v>1207</v>
      </c>
      <c r="I279" t="s">
        <v>39</v>
      </c>
      <c r="J279" t="s">
        <v>1208</v>
      </c>
      <c r="K279" t="s">
        <v>62</v>
      </c>
      <c r="L279" t="s">
        <v>1209</v>
      </c>
      <c r="M279" s="2">
        <v>4999</v>
      </c>
      <c r="N279">
        <v>1</v>
      </c>
      <c r="O279" s="2">
        <v>4999</v>
      </c>
      <c r="P279" t="s">
        <v>29</v>
      </c>
      <c r="Q279">
        <v>0</v>
      </c>
      <c r="R279" s="4">
        <f>IFERROR(Data_Analyst_Intern_Nikhil_Kumar_February2026[[#This Row],[Total]]/Data_Analyst_Intern_Nikhil_Kumar_February2026[[#This Row],[Discount(%)]],0)</f>
        <v>0</v>
      </c>
      <c r="S279" s="2">
        <f>Data_Analyst_Intern_Nikhil_Kumar_February2026[[#This Row],[Total]]-Data_Analyst_Intern_Nikhil_Kumar_February2026[[#This Row],[Discount Amount]]</f>
        <v>4999</v>
      </c>
      <c r="T279" t="s">
        <v>56</v>
      </c>
      <c r="U279" t="s">
        <v>45</v>
      </c>
      <c r="V279" t="s">
        <v>46</v>
      </c>
      <c r="W279" t="s">
        <v>46</v>
      </c>
      <c r="X279" t="s">
        <v>46</v>
      </c>
      <c r="Y279" s="1">
        <v>45657</v>
      </c>
      <c r="Z279" s="3">
        <f>Data_Analyst_Intern_Nikhil_Kumar_February2026[[#This Row],[Del Date]]-Data_Analyst_Intern_Nikhil_Kumar_February2026[[#This Row],[Order Date]]</f>
        <v>17</v>
      </c>
      <c r="AA279" s="3" t="str" cm="1">
        <f t="array" ref="AA279">_xlfn.IFS(Data_Analyst_Intern_Nikhil_Kumar_February2026[[#This Row],[Del Days]]&lt;=7,"Fast",Data_Analyst_Intern_Nikhil_Kumar_February2026[[#This Row],[Del Days]]&lt;=15,"Standard",Data_Analyst_Intern_Nikhil_Kumar_February2026[[#This Row],[Del Days]]&gt;15,"Slow")</f>
        <v>Slow</v>
      </c>
      <c r="AB279" t="s">
        <v>34</v>
      </c>
      <c r="AC279">
        <f>IF(Data_Analyst_Intern_Nikhil_Kumar_February2026[[#This Row],[Status]]="RTO", 1,0)</f>
        <v>0</v>
      </c>
      <c r="AD279">
        <f>IF(Data_Analyst_Intern_Nikhil_Kumar_February2026[[#This Row],[Status]]="Delivered",1,0)</f>
        <v>1</v>
      </c>
      <c r="AE279" t="s">
        <v>47</v>
      </c>
      <c r="AF279">
        <f>IF(AND(Data_Analyst_Intern_Nikhil_Kumar_February2026[[#This Row],[Status]]="Delivered",Data_Analyst_Intern_Nikhil_Kumar_February2026[[#This Row],[Return?]]="Yes"),1,0)</f>
        <v>1</v>
      </c>
      <c r="AG279" t="s">
        <v>80</v>
      </c>
      <c r="AH279" s="1">
        <v>45686</v>
      </c>
      <c r="AI279" t="s">
        <v>49</v>
      </c>
    </row>
    <row r="280" spans="1:35" x14ac:dyDescent="0.3">
      <c r="A280" t="s">
        <v>1210</v>
      </c>
      <c r="B280" s="1">
        <v>45640</v>
      </c>
      <c r="C280" s="1" t="str">
        <f>TEXT(Data_Analyst_Intern_Nikhil_Kumar_February2026[[#This Row],[Order Date]], "mmmm")</f>
        <v>December</v>
      </c>
      <c r="D280" s="23">
        <f>WEEKNUM(Data_Analyst_Intern_Nikhil_Kumar_February2026[[#This Row],[Order Date]],2)</f>
        <v>50</v>
      </c>
      <c r="E280" s="23" t="str">
        <f>TEXT(Data_Analyst_Intern_Nikhil_Kumar_February2026[[#This Row],[Order Date]],"dddd")</f>
        <v>Saturday</v>
      </c>
      <c r="F280" s="1">
        <v>45635</v>
      </c>
      <c r="G280" s="23" t="str">
        <f>TEXT(WEEKDAY(Data_Analyst_Intern_Nikhil_Kumar_February2026[[#This Row],[Order Date]],2), "dddd")</f>
        <v>Friday</v>
      </c>
      <c r="H280" t="s">
        <v>1211</v>
      </c>
      <c r="I280" t="s">
        <v>25</v>
      </c>
      <c r="J280" t="s">
        <v>1212</v>
      </c>
      <c r="K280" t="s">
        <v>72</v>
      </c>
      <c r="L280" t="s">
        <v>1213</v>
      </c>
      <c r="M280" s="2">
        <v>1699</v>
      </c>
      <c r="N280">
        <v>1</v>
      </c>
      <c r="O280" s="2">
        <v>1699</v>
      </c>
      <c r="P280" t="s">
        <v>29</v>
      </c>
      <c r="Q280">
        <v>0</v>
      </c>
      <c r="R280" s="4">
        <f>IFERROR(Data_Analyst_Intern_Nikhil_Kumar_February2026[[#This Row],[Total]]/Data_Analyst_Intern_Nikhil_Kumar_February2026[[#This Row],[Discount(%)]],0)</f>
        <v>0</v>
      </c>
      <c r="S280" s="2">
        <f>Data_Analyst_Intern_Nikhil_Kumar_February2026[[#This Row],[Total]]-Data_Analyst_Intern_Nikhil_Kumar_February2026[[#This Row],[Discount Amount]]</f>
        <v>1699</v>
      </c>
      <c r="T280" t="s">
        <v>112</v>
      </c>
      <c r="U280" t="s">
        <v>66</v>
      </c>
      <c r="V280" t="s">
        <v>91</v>
      </c>
      <c r="W280" t="s">
        <v>92</v>
      </c>
      <c r="X280" t="s">
        <v>46</v>
      </c>
      <c r="Y280" s="1">
        <v>45656</v>
      </c>
      <c r="Z280" s="3">
        <f>Data_Analyst_Intern_Nikhil_Kumar_February2026[[#This Row],[Del Date]]-Data_Analyst_Intern_Nikhil_Kumar_February2026[[#This Row],[Order Date]]</f>
        <v>16</v>
      </c>
      <c r="AA280" s="3" t="str" cm="1">
        <f t="array" ref="AA280">_xlfn.IFS(Data_Analyst_Intern_Nikhil_Kumar_February2026[[#This Row],[Del Days]]&lt;=7,"Fast",Data_Analyst_Intern_Nikhil_Kumar_February2026[[#This Row],[Del Days]]&lt;=15,"Standard",Data_Analyst_Intern_Nikhil_Kumar_February2026[[#This Row],[Del Days]]&gt;15,"Slow")</f>
        <v>Slow</v>
      </c>
      <c r="AB280" t="s">
        <v>34</v>
      </c>
      <c r="AC280">
        <f>IF(Data_Analyst_Intern_Nikhil_Kumar_February2026[[#This Row],[Status]]="RTO", 1,0)</f>
        <v>0</v>
      </c>
      <c r="AD280">
        <f>IF(Data_Analyst_Intern_Nikhil_Kumar_February2026[[#This Row],[Status]]="Delivered",1,0)</f>
        <v>1</v>
      </c>
      <c r="AE280" t="s">
        <v>47</v>
      </c>
      <c r="AF280">
        <f>IF(AND(Data_Analyst_Intern_Nikhil_Kumar_February2026[[#This Row],[Status]]="Delivered",Data_Analyst_Intern_Nikhil_Kumar_February2026[[#This Row],[Return?]]="Yes"),1,0)</f>
        <v>1</v>
      </c>
      <c r="AG280" t="s">
        <v>69</v>
      </c>
      <c r="AH280" s="1">
        <v>45683</v>
      </c>
      <c r="AI280" t="s">
        <v>49</v>
      </c>
    </row>
    <row r="281" spans="1:35" x14ac:dyDescent="0.3">
      <c r="A281" t="s">
        <v>1214</v>
      </c>
      <c r="B281" s="1">
        <v>45640</v>
      </c>
      <c r="C281" s="1" t="str">
        <f>TEXT(Data_Analyst_Intern_Nikhil_Kumar_February2026[[#This Row],[Order Date]], "mmmm")</f>
        <v>December</v>
      </c>
      <c r="D281" s="23">
        <f>WEEKNUM(Data_Analyst_Intern_Nikhil_Kumar_February2026[[#This Row],[Order Date]],2)</f>
        <v>50</v>
      </c>
      <c r="E281" s="23" t="str">
        <f>TEXT(Data_Analyst_Intern_Nikhil_Kumar_February2026[[#This Row],[Order Date]],"dddd")</f>
        <v>Saturday</v>
      </c>
      <c r="F281" s="1">
        <v>45635</v>
      </c>
      <c r="G281" s="23" t="str">
        <f>TEXT(WEEKDAY(Data_Analyst_Intern_Nikhil_Kumar_February2026[[#This Row],[Order Date]],2), "dddd")</f>
        <v>Friday</v>
      </c>
      <c r="H281" t="s">
        <v>1215</v>
      </c>
      <c r="I281" t="s">
        <v>25</v>
      </c>
      <c r="J281" t="s">
        <v>1216</v>
      </c>
      <c r="K281" t="s">
        <v>27</v>
      </c>
      <c r="L281" t="s">
        <v>1217</v>
      </c>
      <c r="M281" s="2">
        <v>2099</v>
      </c>
      <c r="N281">
        <v>1</v>
      </c>
      <c r="O281" s="2">
        <v>2099</v>
      </c>
      <c r="P281" t="s">
        <v>995</v>
      </c>
      <c r="Q281">
        <v>20</v>
      </c>
      <c r="R281" s="4">
        <f>IFERROR(Data_Analyst_Intern_Nikhil_Kumar_February2026[[#This Row],[Total]]/Data_Analyst_Intern_Nikhil_Kumar_February2026[[#This Row],[Discount(%)]],0)</f>
        <v>104.95</v>
      </c>
      <c r="S281" s="2">
        <f>Data_Analyst_Intern_Nikhil_Kumar_February2026[[#This Row],[Total]]-Data_Analyst_Intern_Nikhil_Kumar_February2026[[#This Row],[Discount Amount]]</f>
        <v>1994.05</v>
      </c>
      <c r="T281" t="s">
        <v>65</v>
      </c>
      <c r="U281" t="s">
        <v>31</v>
      </c>
      <c r="V281" t="s">
        <v>67</v>
      </c>
      <c r="W281" t="s">
        <v>68</v>
      </c>
      <c r="X281" t="s">
        <v>57</v>
      </c>
      <c r="Y281" s="1">
        <v>45657</v>
      </c>
      <c r="Z281" s="3">
        <f>Data_Analyst_Intern_Nikhil_Kumar_February2026[[#This Row],[Del Date]]-Data_Analyst_Intern_Nikhil_Kumar_February2026[[#This Row],[Order Date]]</f>
        <v>17</v>
      </c>
      <c r="AA281" s="3" t="str" cm="1">
        <f t="array" ref="AA281">_xlfn.IFS(Data_Analyst_Intern_Nikhil_Kumar_February2026[[#This Row],[Del Days]]&lt;=7,"Fast",Data_Analyst_Intern_Nikhil_Kumar_February2026[[#This Row],[Del Days]]&lt;=15,"Standard",Data_Analyst_Intern_Nikhil_Kumar_February2026[[#This Row],[Del Days]]&gt;15,"Slow")</f>
        <v>Slow</v>
      </c>
      <c r="AB281" t="s">
        <v>34</v>
      </c>
      <c r="AC281">
        <f>IF(Data_Analyst_Intern_Nikhil_Kumar_February2026[[#This Row],[Status]]="RTO", 1,0)</f>
        <v>0</v>
      </c>
      <c r="AD281">
        <f>IF(Data_Analyst_Intern_Nikhil_Kumar_February2026[[#This Row],[Status]]="Delivered",1,0)</f>
        <v>1</v>
      </c>
      <c r="AE281" t="s">
        <v>35</v>
      </c>
      <c r="AF281">
        <f>IF(AND(Data_Analyst_Intern_Nikhil_Kumar_February2026[[#This Row],[Status]]="Delivered",Data_Analyst_Intern_Nikhil_Kumar_February2026[[#This Row],[Return?]]="Yes"),1,0)</f>
        <v>0</v>
      </c>
      <c r="AG281" t="s">
        <v>29</v>
      </c>
      <c r="AI281" t="s">
        <v>36</v>
      </c>
    </row>
    <row r="282" spans="1:35" x14ac:dyDescent="0.3">
      <c r="A282" t="s">
        <v>1218</v>
      </c>
      <c r="B282" s="1">
        <v>45640</v>
      </c>
      <c r="C282" s="1" t="str">
        <f>TEXT(Data_Analyst_Intern_Nikhil_Kumar_February2026[[#This Row],[Order Date]], "mmmm")</f>
        <v>December</v>
      </c>
      <c r="D282" s="23">
        <f>WEEKNUM(Data_Analyst_Intern_Nikhil_Kumar_February2026[[#This Row],[Order Date]],2)</f>
        <v>50</v>
      </c>
      <c r="E282" s="23" t="str">
        <f>TEXT(Data_Analyst_Intern_Nikhil_Kumar_February2026[[#This Row],[Order Date]],"dddd")</f>
        <v>Saturday</v>
      </c>
      <c r="F282" s="1">
        <v>45635</v>
      </c>
      <c r="G282" s="23" t="str">
        <f>TEXT(WEEKDAY(Data_Analyst_Intern_Nikhil_Kumar_February2026[[#This Row],[Order Date]],2), "dddd")</f>
        <v>Friday</v>
      </c>
      <c r="H282" t="s">
        <v>1219</v>
      </c>
      <c r="I282" t="s">
        <v>25</v>
      </c>
      <c r="J282" t="s">
        <v>217</v>
      </c>
      <c r="K282" t="s">
        <v>41</v>
      </c>
      <c r="L282" t="s">
        <v>1220</v>
      </c>
      <c r="M282" s="2">
        <v>4599</v>
      </c>
      <c r="N282">
        <v>1</v>
      </c>
      <c r="O282" s="2">
        <v>4599</v>
      </c>
      <c r="P282" t="s">
        <v>29</v>
      </c>
      <c r="Q282">
        <v>0</v>
      </c>
      <c r="R282" s="4">
        <f>IFERROR(Data_Analyst_Intern_Nikhil_Kumar_February2026[[#This Row],[Total]]/Data_Analyst_Intern_Nikhil_Kumar_February2026[[#This Row],[Discount(%)]],0)</f>
        <v>0</v>
      </c>
      <c r="S282" s="2">
        <f>Data_Analyst_Intern_Nikhil_Kumar_February2026[[#This Row],[Total]]-Data_Analyst_Intern_Nikhil_Kumar_February2026[[#This Row],[Discount Amount]]</f>
        <v>4599</v>
      </c>
      <c r="T282" t="s">
        <v>44</v>
      </c>
      <c r="U282" t="s">
        <v>45</v>
      </c>
      <c r="V282" t="s">
        <v>78</v>
      </c>
      <c r="W282" t="s">
        <v>79</v>
      </c>
      <c r="X282" t="s">
        <v>57</v>
      </c>
      <c r="Y282" s="1">
        <v>45659</v>
      </c>
      <c r="Z282" s="3">
        <f>Data_Analyst_Intern_Nikhil_Kumar_February2026[[#This Row],[Del Date]]-Data_Analyst_Intern_Nikhil_Kumar_February2026[[#This Row],[Order Date]]</f>
        <v>19</v>
      </c>
      <c r="AA282" s="3" t="str" cm="1">
        <f t="array" ref="AA282">_xlfn.IFS(Data_Analyst_Intern_Nikhil_Kumar_February2026[[#This Row],[Del Days]]&lt;=7,"Fast",Data_Analyst_Intern_Nikhil_Kumar_February2026[[#This Row],[Del Days]]&lt;=15,"Standard",Data_Analyst_Intern_Nikhil_Kumar_February2026[[#This Row],[Del Days]]&gt;15,"Slow")</f>
        <v>Slow</v>
      </c>
      <c r="AB282" t="s">
        <v>34</v>
      </c>
      <c r="AC282">
        <f>IF(Data_Analyst_Intern_Nikhil_Kumar_February2026[[#This Row],[Status]]="RTO", 1,0)</f>
        <v>0</v>
      </c>
      <c r="AD282">
        <f>IF(Data_Analyst_Intern_Nikhil_Kumar_February2026[[#This Row],[Status]]="Delivered",1,0)</f>
        <v>1</v>
      </c>
      <c r="AE282" t="s">
        <v>47</v>
      </c>
      <c r="AF282">
        <f>IF(AND(Data_Analyst_Intern_Nikhil_Kumar_February2026[[#This Row],[Status]]="Delivered",Data_Analyst_Intern_Nikhil_Kumar_February2026[[#This Row],[Return?]]="Yes"),1,0)</f>
        <v>1</v>
      </c>
      <c r="AG282" t="s">
        <v>48</v>
      </c>
      <c r="AH282" s="1">
        <v>45687</v>
      </c>
      <c r="AI282" t="s">
        <v>49</v>
      </c>
    </row>
    <row r="283" spans="1:35" x14ac:dyDescent="0.3">
      <c r="A283" t="s">
        <v>1221</v>
      </c>
      <c r="B283" s="1">
        <v>45641</v>
      </c>
      <c r="C283" s="1" t="str">
        <f>TEXT(Data_Analyst_Intern_Nikhil_Kumar_February2026[[#This Row],[Order Date]], "mmmm")</f>
        <v>December</v>
      </c>
      <c r="D283" s="23">
        <f>WEEKNUM(Data_Analyst_Intern_Nikhil_Kumar_February2026[[#This Row],[Order Date]],2)</f>
        <v>50</v>
      </c>
      <c r="E283" s="23" t="str">
        <f>TEXT(Data_Analyst_Intern_Nikhil_Kumar_February2026[[#This Row],[Order Date]],"dddd")</f>
        <v>Sunday</v>
      </c>
      <c r="F283" s="1">
        <v>45635</v>
      </c>
      <c r="G283" s="23" t="str">
        <f>TEXT(WEEKDAY(Data_Analyst_Intern_Nikhil_Kumar_February2026[[#This Row],[Order Date]],2), "dddd")</f>
        <v>Saturday</v>
      </c>
      <c r="H283" t="s">
        <v>1222</v>
      </c>
      <c r="I283" t="s">
        <v>25</v>
      </c>
      <c r="J283" t="s">
        <v>1223</v>
      </c>
      <c r="K283" t="s">
        <v>54</v>
      </c>
      <c r="L283" t="s">
        <v>1224</v>
      </c>
      <c r="M283" s="2">
        <v>2299</v>
      </c>
      <c r="N283">
        <v>1</v>
      </c>
      <c r="O283" s="2">
        <v>2299</v>
      </c>
      <c r="P283" t="s">
        <v>29</v>
      </c>
      <c r="Q283">
        <v>0</v>
      </c>
      <c r="R283" s="4">
        <f>IFERROR(Data_Analyst_Intern_Nikhil_Kumar_February2026[[#This Row],[Total]]/Data_Analyst_Intern_Nikhil_Kumar_February2026[[#This Row],[Discount(%)]],0)</f>
        <v>0</v>
      </c>
      <c r="S283" s="2">
        <f>Data_Analyst_Intern_Nikhil_Kumar_February2026[[#This Row],[Total]]-Data_Analyst_Intern_Nikhil_Kumar_February2026[[#This Row],[Discount Amount]]</f>
        <v>2299</v>
      </c>
      <c r="T283" t="s">
        <v>30</v>
      </c>
      <c r="U283" t="s">
        <v>66</v>
      </c>
      <c r="V283" t="s">
        <v>85</v>
      </c>
      <c r="W283" t="s">
        <v>33</v>
      </c>
      <c r="X283" t="s">
        <v>32</v>
      </c>
      <c r="Y283" s="1">
        <v>45659</v>
      </c>
      <c r="Z283" s="3">
        <f>Data_Analyst_Intern_Nikhil_Kumar_February2026[[#This Row],[Del Date]]-Data_Analyst_Intern_Nikhil_Kumar_February2026[[#This Row],[Order Date]]</f>
        <v>18</v>
      </c>
      <c r="AA283" s="3" t="str" cm="1">
        <f t="array" ref="AA283">_xlfn.IFS(Data_Analyst_Intern_Nikhil_Kumar_February2026[[#This Row],[Del Days]]&lt;=7,"Fast",Data_Analyst_Intern_Nikhil_Kumar_February2026[[#This Row],[Del Days]]&lt;=15,"Standard",Data_Analyst_Intern_Nikhil_Kumar_February2026[[#This Row],[Del Days]]&gt;15,"Slow")</f>
        <v>Slow</v>
      </c>
      <c r="AB283" t="s">
        <v>34</v>
      </c>
      <c r="AC283">
        <f>IF(Data_Analyst_Intern_Nikhil_Kumar_February2026[[#This Row],[Status]]="RTO", 1,0)</f>
        <v>0</v>
      </c>
      <c r="AD283">
        <f>IF(Data_Analyst_Intern_Nikhil_Kumar_February2026[[#This Row],[Status]]="Delivered",1,0)</f>
        <v>1</v>
      </c>
      <c r="AE283" t="s">
        <v>35</v>
      </c>
      <c r="AF283">
        <f>IF(AND(Data_Analyst_Intern_Nikhil_Kumar_February2026[[#This Row],[Status]]="Delivered",Data_Analyst_Intern_Nikhil_Kumar_February2026[[#This Row],[Return?]]="Yes"),1,0)</f>
        <v>0</v>
      </c>
      <c r="AG283" t="s">
        <v>29</v>
      </c>
      <c r="AI283" t="s">
        <v>36</v>
      </c>
    </row>
    <row r="284" spans="1:35" x14ac:dyDescent="0.3">
      <c r="A284" t="s">
        <v>1225</v>
      </c>
      <c r="B284" s="1">
        <v>45641</v>
      </c>
      <c r="C284" s="1" t="str">
        <f>TEXT(Data_Analyst_Intern_Nikhil_Kumar_February2026[[#This Row],[Order Date]], "mmmm")</f>
        <v>December</v>
      </c>
      <c r="D284" s="23">
        <f>WEEKNUM(Data_Analyst_Intern_Nikhil_Kumar_February2026[[#This Row],[Order Date]],2)</f>
        <v>50</v>
      </c>
      <c r="E284" s="23" t="str">
        <f>TEXT(Data_Analyst_Intern_Nikhil_Kumar_February2026[[#This Row],[Order Date]],"dddd")</f>
        <v>Sunday</v>
      </c>
      <c r="F284" s="1">
        <v>45635</v>
      </c>
      <c r="G284" s="23" t="str">
        <f>TEXT(WEEKDAY(Data_Analyst_Intern_Nikhil_Kumar_February2026[[#This Row],[Order Date]],2), "dddd")</f>
        <v>Saturday</v>
      </c>
      <c r="H284" t="s">
        <v>1226</v>
      </c>
      <c r="I284" t="s">
        <v>39</v>
      </c>
      <c r="J284" t="s">
        <v>1227</v>
      </c>
      <c r="K284" t="s">
        <v>62</v>
      </c>
      <c r="L284" t="s">
        <v>1228</v>
      </c>
      <c r="M284" s="2">
        <v>5799</v>
      </c>
      <c r="N284">
        <v>1</v>
      </c>
      <c r="O284" s="2">
        <v>5799</v>
      </c>
      <c r="P284" t="s">
        <v>995</v>
      </c>
      <c r="Q284">
        <v>20</v>
      </c>
      <c r="R284" s="4">
        <f>IFERROR(Data_Analyst_Intern_Nikhil_Kumar_February2026[[#This Row],[Total]]/Data_Analyst_Intern_Nikhil_Kumar_February2026[[#This Row],[Discount(%)]],0)</f>
        <v>289.95</v>
      </c>
      <c r="S284" s="2">
        <f>Data_Analyst_Intern_Nikhil_Kumar_February2026[[#This Row],[Total]]-Data_Analyst_Intern_Nikhil_Kumar_February2026[[#This Row],[Discount Amount]]</f>
        <v>5509.05</v>
      </c>
      <c r="T284" t="s">
        <v>56</v>
      </c>
      <c r="U284" t="s">
        <v>31</v>
      </c>
      <c r="V284" t="s">
        <v>97</v>
      </c>
      <c r="W284" t="s">
        <v>98</v>
      </c>
      <c r="X284" t="s">
        <v>32</v>
      </c>
      <c r="Y284" s="1">
        <v>45660</v>
      </c>
      <c r="Z284" s="3">
        <f>Data_Analyst_Intern_Nikhil_Kumar_February2026[[#This Row],[Del Date]]-Data_Analyst_Intern_Nikhil_Kumar_February2026[[#This Row],[Order Date]]</f>
        <v>19</v>
      </c>
      <c r="AA284" s="3" t="str" cm="1">
        <f t="array" ref="AA284">_xlfn.IFS(Data_Analyst_Intern_Nikhil_Kumar_February2026[[#This Row],[Del Days]]&lt;=7,"Fast",Data_Analyst_Intern_Nikhil_Kumar_February2026[[#This Row],[Del Days]]&lt;=15,"Standard",Data_Analyst_Intern_Nikhil_Kumar_February2026[[#This Row],[Del Days]]&gt;15,"Slow")</f>
        <v>Slow</v>
      </c>
      <c r="AB284" t="s">
        <v>34</v>
      </c>
      <c r="AC284">
        <f>IF(Data_Analyst_Intern_Nikhil_Kumar_February2026[[#This Row],[Status]]="RTO", 1,0)</f>
        <v>0</v>
      </c>
      <c r="AD284">
        <f>IF(Data_Analyst_Intern_Nikhil_Kumar_February2026[[#This Row],[Status]]="Delivered",1,0)</f>
        <v>1</v>
      </c>
      <c r="AE284" t="s">
        <v>47</v>
      </c>
      <c r="AF284">
        <f>IF(AND(Data_Analyst_Intern_Nikhil_Kumar_February2026[[#This Row],[Status]]="Delivered",Data_Analyst_Intern_Nikhil_Kumar_February2026[[#This Row],[Return?]]="Yes"),1,0)</f>
        <v>1</v>
      </c>
      <c r="AG284" t="s">
        <v>105</v>
      </c>
      <c r="AH284" s="1">
        <v>45688</v>
      </c>
      <c r="AI284" t="s">
        <v>49</v>
      </c>
    </row>
    <row r="285" spans="1:35" x14ac:dyDescent="0.3">
      <c r="A285" t="s">
        <v>1229</v>
      </c>
      <c r="B285" s="1">
        <v>45641</v>
      </c>
      <c r="C285" s="1" t="str">
        <f>TEXT(Data_Analyst_Intern_Nikhil_Kumar_February2026[[#This Row],[Order Date]], "mmmm")</f>
        <v>December</v>
      </c>
      <c r="D285" s="23">
        <f>WEEKNUM(Data_Analyst_Intern_Nikhil_Kumar_February2026[[#This Row],[Order Date]],2)</f>
        <v>50</v>
      </c>
      <c r="E285" s="23" t="str">
        <f>TEXT(Data_Analyst_Intern_Nikhil_Kumar_February2026[[#This Row],[Order Date]],"dddd")</f>
        <v>Sunday</v>
      </c>
      <c r="F285" s="1">
        <v>45635</v>
      </c>
      <c r="G285" s="23" t="str">
        <f>TEXT(WEEKDAY(Data_Analyst_Intern_Nikhil_Kumar_February2026[[#This Row],[Order Date]],2), "dddd")</f>
        <v>Saturday</v>
      </c>
      <c r="H285" t="s">
        <v>1230</v>
      </c>
      <c r="I285" t="s">
        <v>25</v>
      </c>
      <c r="J285" t="s">
        <v>1231</v>
      </c>
      <c r="K285" t="s">
        <v>72</v>
      </c>
      <c r="L285" t="s">
        <v>1232</v>
      </c>
      <c r="M285" s="2">
        <v>799</v>
      </c>
      <c r="N285">
        <v>2</v>
      </c>
      <c r="O285" s="2">
        <v>1598</v>
      </c>
      <c r="P285" t="s">
        <v>29</v>
      </c>
      <c r="Q285">
        <v>0</v>
      </c>
      <c r="R285" s="4">
        <f>IFERROR(Data_Analyst_Intern_Nikhil_Kumar_February2026[[#This Row],[Total]]/Data_Analyst_Intern_Nikhil_Kumar_February2026[[#This Row],[Discount(%)]],0)</f>
        <v>0</v>
      </c>
      <c r="S285" s="2">
        <f>Data_Analyst_Intern_Nikhil_Kumar_February2026[[#This Row],[Total]]-Data_Analyst_Intern_Nikhil_Kumar_February2026[[#This Row],[Discount Amount]]</f>
        <v>1598</v>
      </c>
      <c r="T285" t="s">
        <v>112</v>
      </c>
      <c r="U285" t="s">
        <v>45</v>
      </c>
      <c r="V285" t="s">
        <v>103</v>
      </c>
      <c r="W285" t="s">
        <v>104</v>
      </c>
      <c r="X285" t="s">
        <v>46</v>
      </c>
      <c r="Y285" s="1">
        <v>45659</v>
      </c>
      <c r="Z285" s="3">
        <f>Data_Analyst_Intern_Nikhil_Kumar_February2026[[#This Row],[Del Date]]-Data_Analyst_Intern_Nikhil_Kumar_February2026[[#This Row],[Order Date]]</f>
        <v>18</v>
      </c>
      <c r="AA285" s="3" t="str" cm="1">
        <f t="array" ref="AA285">_xlfn.IFS(Data_Analyst_Intern_Nikhil_Kumar_February2026[[#This Row],[Del Days]]&lt;=7,"Fast",Data_Analyst_Intern_Nikhil_Kumar_February2026[[#This Row],[Del Days]]&lt;=15,"Standard",Data_Analyst_Intern_Nikhil_Kumar_February2026[[#This Row],[Del Days]]&gt;15,"Slow")</f>
        <v>Slow</v>
      </c>
      <c r="AB285" t="s">
        <v>34</v>
      </c>
      <c r="AC285">
        <f>IF(Data_Analyst_Intern_Nikhil_Kumar_February2026[[#This Row],[Status]]="RTO", 1,0)</f>
        <v>0</v>
      </c>
      <c r="AD285">
        <f>IF(Data_Analyst_Intern_Nikhil_Kumar_February2026[[#This Row],[Status]]="Delivered",1,0)</f>
        <v>1</v>
      </c>
      <c r="AE285" t="s">
        <v>35</v>
      </c>
      <c r="AF285">
        <f>IF(AND(Data_Analyst_Intern_Nikhil_Kumar_February2026[[#This Row],[Status]]="Delivered",Data_Analyst_Intern_Nikhil_Kumar_February2026[[#This Row],[Return?]]="Yes"),1,0)</f>
        <v>0</v>
      </c>
      <c r="AG285" t="s">
        <v>29</v>
      </c>
      <c r="AI285" t="s">
        <v>36</v>
      </c>
    </row>
    <row r="286" spans="1:35" x14ac:dyDescent="0.3">
      <c r="A286" t="s">
        <v>1233</v>
      </c>
      <c r="B286" s="1">
        <v>45641</v>
      </c>
      <c r="C286" s="1" t="str">
        <f>TEXT(Data_Analyst_Intern_Nikhil_Kumar_February2026[[#This Row],[Order Date]], "mmmm")</f>
        <v>December</v>
      </c>
      <c r="D286" s="23">
        <f>WEEKNUM(Data_Analyst_Intern_Nikhil_Kumar_February2026[[#This Row],[Order Date]],2)</f>
        <v>50</v>
      </c>
      <c r="E286" s="23" t="str">
        <f>TEXT(Data_Analyst_Intern_Nikhil_Kumar_February2026[[#This Row],[Order Date]],"dddd")</f>
        <v>Sunday</v>
      </c>
      <c r="F286" s="1">
        <v>45635</v>
      </c>
      <c r="G286" s="23" t="str">
        <f>TEXT(WEEKDAY(Data_Analyst_Intern_Nikhil_Kumar_February2026[[#This Row],[Order Date]],2), "dddd")</f>
        <v>Saturday</v>
      </c>
      <c r="H286" t="s">
        <v>1234</v>
      </c>
      <c r="I286" t="s">
        <v>25</v>
      </c>
      <c r="J286" t="s">
        <v>1235</v>
      </c>
      <c r="K286" t="s">
        <v>27</v>
      </c>
      <c r="L286" t="s">
        <v>1236</v>
      </c>
      <c r="M286" s="2">
        <v>1999</v>
      </c>
      <c r="N286">
        <v>1</v>
      </c>
      <c r="O286" s="2">
        <v>1999</v>
      </c>
      <c r="P286" t="s">
        <v>29</v>
      </c>
      <c r="Q286">
        <v>0</v>
      </c>
      <c r="R286" s="4">
        <f>IFERROR(Data_Analyst_Intern_Nikhil_Kumar_February2026[[#This Row],[Total]]/Data_Analyst_Intern_Nikhil_Kumar_February2026[[#This Row],[Discount(%)]],0)</f>
        <v>0</v>
      </c>
      <c r="S286" s="2">
        <f>Data_Analyst_Intern_Nikhil_Kumar_February2026[[#This Row],[Total]]-Data_Analyst_Intern_Nikhil_Kumar_February2026[[#This Row],[Discount Amount]]</f>
        <v>1999</v>
      </c>
      <c r="T286" t="s">
        <v>65</v>
      </c>
      <c r="U286" t="s">
        <v>66</v>
      </c>
      <c r="V286" t="s">
        <v>113</v>
      </c>
      <c r="W286" t="s">
        <v>114</v>
      </c>
      <c r="X286" t="s">
        <v>46</v>
      </c>
      <c r="Y286" s="1">
        <v>45660</v>
      </c>
      <c r="Z286" s="3">
        <f>Data_Analyst_Intern_Nikhil_Kumar_February2026[[#This Row],[Del Date]]-Data_Analyst_Intern_Nikhil_Kumar_February2026[[#This Row],[Order Date]]</f>
        <v>19</v>
      </c>
      <c r="AA286" s="3" t="str" cm="1">
        <f t="array" ref="AA286">_xlfn.IFS(Data_Analyst_Intern_Nikhil_Kumar_February2026[[#This Row],[Del Days]]&lt;=7,"Fast",Data_Analyst_Intern_Nikhil_Kumar_February2026[[#This Row],[Del Days]]&lt;=15,"Standard",Data_Analyst_Intern_Nikhil_Kumar_February2026[[#This Row],[Del Days]]&gt;15,"Slow")</f>
        <v>Slow</v>
      </c>
      <c r="AB286" t="s">
        <v>34</v>
      </c>
      <c r="AC286">
        <f>IF(Data_Analyst_Intern_Nikhil_Kumar_February2026[[#This Row],[Status]]="RTO", 1,0)</f>
        <v>0</v>
      </c>
      <c r="AD286">
        <f>IF(Data_Analyst_Intern_Nikhil_Kumar_February2026[[#This Row],[Status]]="Delivered",1,0)</f>
        <v>1</v>
      </c>
      <c r="AE286" t="s">
        <v>47</v>
      </c>
      <c r="AF286">
        <f>IF(AND(Data_Analyst_Intern_Nikhil_Kumar_February2026[[#This Row],[Status]]="Delivered",Data_Analyst_Intern_Nikhil_Kumar_February2026[[#This Row],[Return?]]="Yes"),1,0)</f>
        <v>1</v>
      </c>
      <c r="AG286" t="s">
        <v>139</v>
      </c>
      <c r="AH286" s="1">
        <v>45687</v>
      </c>
      <c r="AI286" t="s">
        <v>49</v>
      </c>
    </row>
    <row r="287" spans="1:35" x14ac:dyDescent="0.3">
      <c r="A287" t="s">
        <v>1237</v>
      </c>
      <c r="B287" s="1">
        <v>45642</v>
      </c>
      <c r="C287" s="1" t="str">
        <f>TEXT(Data_Analyst_Intern_Nikhil_Kumar_February2026[[#This Row],[Order Date]], "mmmm")</f>
        <v>December</v>
      </c>
      <c r="D287" s="23">
        <f>WEEKNUM(Data_Analyst_Intern_Nikhil_Kumar_February2026[[#This Row],[Order Date]],2)</f>
        <v>51</v>
      </c>
      <c r="E287" s="23" t="str">
        <f>TEXT(Data_Analyst_Intern_Nikhil_Kumar_February2026[[#This Row],[Order Date]],"dddd")</f>
        <v>Monday</v>
      </c>
      <c r="F287" s="1">
        <v>45642</v>
      </c>
      <c r="G287" s="23" t="str">
        <f>TEXT(WEEKDAY(Data_Analyst_Intern_Nikhil_Kumar_February2026[[#This Row],[Order Date]],2), "dddd")</f>
        <v>Sunday</v>
      </c>
      <c r="H287" t="s">
        <v>1238</v>
      </c>
      <c r="I287" t="s">
        <v>25</v>
      </c>
      <c r="J287" t="s">
        <v>1239</v>
      </c>
      <c r="K287" t="s">
        <v>41</v>
      </c>
      <c r="L287" t="s">
        <v>1240</v>
      </c>
      <c r="M287" s="2">
        <v>3899</v>
      </c>
      <c r="N287">
        <v>1</v>
      </c>
      <c r="O287" s="2">
        <v>3899</v>
      </c>
      <c r="P287" t="s">
        <v>995</v>
      </c>
      <c r="Q287">
        <v>20</v>
      </c>
      <c r="R287" s="4">
        <f>IFERROR(Data_Analyst_Intern_Nikhil_Kumar_February2026[[#This Row],[Total]]/Data_Analyst_Intern_Nikhil_Kumar_February2026[[#This Row],[Discount(%)]],0)</f>
        <v>194.95</v>
      </c>
      <c r="S287" s="2">
        <f>Data_Analyst_Intern_Nikhil_Kumar_February2026[[#This Row],[Total]]-Data_Analyst_Intern_Nikhil_Kumar_February2026[[#This Row],[Discount Amount]]</f>
        <v>3704.05</v>
      </c>
      <c r="T287" t="s">
        <v>44</v>
      </c>
      <c r="U287" t="s">
        <v>31</v>
      </c>
      <c r="V287" t="s">
        <v>57</v>
      </c>
      <c r="W287" t="s">
        <v>58</v>
      </c>
      <c r="X287" t="s">
        <v>57</v>
      </c>
      <c r="Y287" s="1">
        <v>45661</v>
      </c>
      <c r="Z287" s="3">
        <f>Data_Analyst_Intern_Nikhil_Kumar_February2026[[#This Row],[Del Date]]-Data_Analyst_Intern_Nikhil_Kumar_February2026[[#This Row],[Order Date]]</f>
        <v>19</v>
      </c>
      <c r="AA287" s="3" t="str" cm="1">
        <f t="array" ref="AA287">_xlfn.IFS(Data_Analyst_Intern_Nikhil_Kumar_February2026[[#This Row],[Del Days]]&lt;=7,"Fast",Data_Analyst_Intern_Nikhil_Kumar_February2026[[#This Row],[Del Days]]&lt;=15,"Standard",Data_Analyst_Intern_Nikhil_Kumar_February2026[[#This Row],[Del Days]]&gt;15,"Slow")</f>
        <v>Slow</v>
      </c>
      <c r="AB287" t="s">
        <v>34</v>
      </c>
      <c r="AC287">
        <f>IF(Data_Analyst_Intern_Nikhil_Kumar_February2026[[#This Row],[Status]]="RTO", 1,0)</f>
        <v>0</v>
      </c>
      <c r="AD287">
        <f>IF(Data_Analyst_Intern_Nikhil_Kumar_February2026[[#This Row],[Status]]="Delivered",1,0)</f>
        <v>1</v>
      </c>
      <c r="AE287" t="s">
        <v>47</v>
      </c>
      <c r="AF287">
        <f>IF(AND(Data_Analyst_Intern_Nikhil_Kumar_February2026[[#This Row],[Status]]="Delivered",Data_Analyst_Intern_Nikhil_Kumar_February2026[[#This Row],[Return?]]="Yes"),1,0)</f>
        <v>1</v>
      </c>
      <c r="AG287" t="s">
        <v>48</v>
      </c>
      <c r="AH287" s="1">
        <v>45689</v>
      </c>
      <c r="AI287" t="s">
        <v>49</v>
      </c>
    </row>
    <row r="288" spans="1:35" x14ac:dyDescent="0.3">
      <c r="A288" t="s">
        <v>1241</v>
      </c>
      <c r="B288" s="1">
        <v>45642</v>
      </c>
      <c r="C288" s="1" t="str">
        <f>TEXT(Data_Analyst_Intern_Nikhil_Kumar_February2026[[#This Row],[Order Date]], "mmmm")</f>
        <v>December</v>
      </c>
      <c r="D288" s="23">
        <f>WEEKNUM(Data_Analyst_Intern_Nikhil_Kumar_February2026[[#This Row],[Order Date]],2)</f>
        <v>51</v>
      </c>
      <c r="E288" s="23" t="str">
        <f>TEXT(Data_Analyst_Intern_Nikhil_Kumar_February2026[[#This Row],[Order Date]],"dddd")</f>
        <v>Monday</v>
      </c>
      <c r="F288" s="1">
        <v>45642</v>
      </c>
      <c r="G288" s="23" t="str">
        <f>TEXT(WEEKDAY(Data_Analyst_Intern_Nikhil_Kumar_February2026[[#This Row],[Order Date]],2), "dddd")</f>
        <v>Sunday</v>
      </c>
      <c r="H288" t="s">
        <v>1242</v>
      </c>
      <c r="I288" t="s">
        <v>25</v>
      </c>
      <c r="J288" t="s">
        <v>1243</v>
      </c>
      <c r="K288" t="s">
        <v>54</v>
      </c>
      <c r="L288" t="s">
        <v>1244</v>
      </c>
      <c r="M288" s="2">
        <v>2599</v>
      </c>
      <c r="N288">
        <v>1</v>
      </c>
      <c r="O288" s="2">
        <v>2599</v>
      </c>
      <c r="P288" t="s">
        <v>29</v>
      </c>
      <c r="Q288">
        <v>0</v>
      </c>
      <c r="R288" s="4">
        <f>IFERROR(Data_Analyst_Intern_Nikhil_Kumar_February2026[[#This Row],[Total]]/Data_Analyst_Intern_Nikhil_Kumar_February2026[[#This Row],[Discount(%)]],0)</f>
        <v>0</v>
      </c>
      <c r="S288" s="2">
        <f>Data_Analyst_Intern_Nikhil_Kumar_February2026[[#This Row],[Total]]-Data_Analyst_Intern_Nikhil_Kumar_February2026[[#This Row],[Discount Amount]]</f>
        <v>2599</v>
      </c>
      <c r="T288" t="s">
        <v>30</v>
      </c>
      <c r="U288" t="s">
        <v>45</v>
      </c>
      <c r="V288" t="s">
        <v>32</v>
      </c>
      <c r="W288" t="s">
        <v>33</v>
      </c>
      <c r="X288" t="s">
        <v>32</v>
      </c>
      <c r="Y288" s="1">
        <v>45661</v>
      </c>
      <c r="Z288" s="3">
        <f>Data_Analyst_Intern_Nikhil_Kumar_February2026[[#This Row],[Del Date]]-Data_Analyst_Intern_Nikhil_Kumar_February2026[[#This Row],[Order Date]]</f>
        <v>19</v>
      </c>
      <c r="AA288" s="3" t="str" cm="1">
        <f t="array" ref="AA288">_xlfn.IFS(Data_Analyst_Intern_Nikhil_Kumar_February2026[[#This Row],[Del Days]]&lt;=7,"Fast",Data_Analyst_Intern_Nikhil_Kumar_February2026[[#This Row],[Del Days]]&lt;=15,"Standard",Data_Analyst_Intern_Nikhil_Kumar_February2026[[#This Row],[Del Days]]&gt;15,"Slow")</f>
        <v>Slow</v>
      </c>
      <c r="AB288" t="s">
        <v>34</v>
      </c>
      <c r="AC288">
        <f>IF(Data_Analyst_Intern_Nikhil_Kumar_February2026[[#This Row],[Status]]="RTO", 1,0)</f>
        <v>0</v>
      </c>
      <c r="AD288">
        <f>IF(Data_Analyst_Intern_Nikhil_Kumar_February2026[[#This Row],[Status]]="Delivered",1,0)</f>
        <v>1</v>
      </c>
      <c r="AE288" t="s">
        <v>35</v>
      </c>
      <c r="AF288">
        <f>IF(AND(Data_Analyst_Intern_Nikhil_Kumar_February2026[[#This Row],[Status]]="Delivered",Data_Analyst_Intern_Nikhil_Kumar_February2026[[#This Row],[Return?]]="Yes"),1,0)</f>
        <v>0</v>
      </c>
      <c r="AG288" t="s">
        <v>29</v>
      </c>
      <c r="AI288" t="s">
        <v>36</v>
      </c>
    </row>
    <row r="289" spans="1:35" x14ac:dyDescent="0.3">
      <c r="A289" t="s">
        <v>1245</v>
      </c>
      <c r="B289" s="1">
        <v>45642</v>
      </c>
      <c r="C289" s="1" t="str">
        <f>TEXT(Data_Analyst_Intern_Nikhil_Kumar_February2026[[#This Row],[Order Date]], "mmmm")</f>
        <v>December</v>
      </c>
      <c r="D289" s="23">
        <f>WEEKNUM(Data_Analyst_Intern_Nikhil_Kumar_February2026[[#This Row],[Order Date]],2)</f>
        <v>51</v>
      </c>
      <c r="E289" s="23" t="str">
        <f>TEXT(Data_Analyst_Intern_Nikhil_Kumar_February2026[[#This Row],[Order Date]],"dddd")</f>
        <v>Monday</v>
      </c>
      <c r="F289" s="1">
        <v>45642</v>
      </c>
      <c r="G289" s="23" t="str">
        <f>TEXT(WEEKDAY(Data_Analyst_Intern_Nikhil_Kumar_February2026[[#This Row],[Order Date]],2), "dddd")</f>
        <v>Sunday</v>
      </c>
      <c r="H289" t="s">
        <v>1246</v>
      </c>
      <c r="I289" t="s">
        <v>25</v>
      </c>
      <c r="J289" t="s">
        <v>1247</v>
      </c>
      <c r="K289" t="s">
        <v>62</v>
      </c>
      <c r="L289" t="s">
        <v>1248</v>
      </c>
      <c r="M289" s="2">
        <v>5299</v>
      </c>
      <c r="N289">
        <v>1</v>
      </c>
      <c r="O289" s="2">
        <v>5299</v>
      </c>
      <c r="P289" t="s">
        <v>29</v>
      </c>
      <c r="Q289">
        <v>0</v>
      </c>
      <c r="R289" s="4">
        <f>IFERROR(Data_Analyst_Intern_Nikhil_Kumar_February2026[[#This Row],[Total]]/Data_Analyst_Intern_Nikhil_Kumar_February2026[[#This Row],[Discount(%)]],0)</f>
        <v>0</v>
      </c>
      <c r="S289" s="2">
        <f>Data_Analyst_Intern_Nikhil_Kumar_February2026[[#This Row],[Total]]-Data_Analyst_Intern_Nikhil_Kumar_February2026[[#This Row],[Discount Amount]]</f>
        <v>5299</v>
      </c>
      <c r="T289" t="s">
        <v>56</v>
      </c>
      <c r="U289" t="s">
        <v>66</v>
      </c>
      <c r="V289" t="s">
        <v>46</v>
      </c>
      <c r="W289" t="s">
        <v>46</v>
      </c>
      <c r="X289" t="s">
        <v>46</v>
      </c>
      <c r="Y289" s="1">
        <v>45662</v>
      </c>
      <c r="Z289" s="3">
        <f>Data_Analyst_Intern_Nikhil_Kumar_February2026[[#This Row],[Del Date]]-Data_Analyst_Intern_Nikhil_Kumar_February2026[[#This Row],[Order Date]]</f>
        <v>20</v>
      </c>
      <c r="AA289" s="3" t="str" cm="1">
        <f t="array" ref="AA289">_xlfn.IFS(Data_Analyst_Intern_Nikhil_Kumar_February2026[[#This Row],[Del Days]]&lt;=7,"Fast",Data_Analyst_Intern_Nikhil_Kumar_February2026[[#This Row],[Del Days]]&lt;=15,"Standard",Data_Analyst_Intern_Nikhil_Kumar_February2026[[#This Row],[Del Days]]&gt;15,"Slow")</f>
        <v>Slow</v>
      </c>
      <c r="AB289" t="s">
        <v>34</v>
      </c>
      <c r="AC289">
        <f>IF(Data_Analyst_Intern_Nikhil_Kumar_February2026[[#This Row],[Status]]="RTO", 1,0)</f>
        <v>0</v>
      </c>
      <c r="AD289">
        <f>IF(Data_Analyst_Intern_Nikhil_Kumar_February2026[[#This Row],[Status]]="Delivered",1,0)</f>
        <v>1</v>
      </c>
      <c r="AE289" t="s">
        <v>47</v>
      </c>
      <c r="AF289">
        <f>IF(AND(Data_Analyst_Intern_Nikhil_Kumar_February2026[[#This Row],[Status]]="Delivered",Data_Analyst_Intern_Nikhil_Kumar_February2026[[#This Row],[Return?]]="Yes"),1,0)</f>
        <v>1</v>
      </c>
      <c r="AG289" t="s">
        <v>80</v>
      </c>
      <c r="AH289" s="1">
        <v>45690</v>
      </c>
      <c r="AI289" t="s">
        <v>49</v>
      </c>
    </row>
    <row r="290" spans="1:35" x14ac:dyDescent="0.3">
      <c r="A290" t="s">
        <v>1249</v>
      </c>
      <c r="B290" s="1">
        <v>45642</v>
      </c>
      <c r="C290" s="1" t="str">
        <f>TEXT(Data_Analyst_Intern_Nikhil_Kumar_February2026[[#This Row],[Order Date]], "mmmm")</f>
        <v>December</v>
      </c>
      <c r="D290" s="23">
        <f>WEEKNUM(Data_Analyst_Intern_Nikhil_Kumar_February2026[[#This Row],[Order Date]],2)</f>
        <v>51</v>
      </c>
      <c r="E290" s="23" t="str">
        <f>TEXT(Data_Analyst_Intern_Nikhil_Kumar_February2026[[#This Row],[Order Date]],"dddd")</f>
        <v>Monday</v>
      </c>
      <c r="F290" s="1">
        <v>45642</v>
      </c>
      <c r="G290" s="23" t="str">
        <f>TEXT(WEEKDAY(Data_Analyst_Intern_Nikhil_Kumar_February2026[[#This Row],[Order Date]],2), "dddd")</f>
        <v>Sunday</v>
      </c>
      <c r="H290" t="s">
        <v>1250</v>
      </c>
      <c r="I290" t="s">
        <v>39</v>
      </c>
      <c r="J290" t="s">
        <v>1251</v>
      </c>
      <c r="K290" t="s">
        <v>72</v>
      </c>
      <c r="L290" t="s">
        <v>1252</v>
      </c>
      <c r="M290" s="2">
        <v>1399</v>
      </c>
      <c r="N290">
        <v>1</v>
      </c>
      <c r="O290" s="2">
        <v>1399</v>
      </c>
      <c r="P290" t="s">
        <v>995</v>
      </c>
      <c r="Q290">
        <v>20</v>
      </c>
      <c r="R290" s="4">
        <f>IFERROR(Data_Analyst_Intern_Nikhil_Kumar_February2026[[#This Row],[Total]]/Data_Analyst_Intern_Nikhil_Kumar_February2026[[#This Row],[Discount(%)]],0)</f>
        <v>69.95</v>
      </c>
      <c r="S290" s="2">
        <f>Data_Analyst_Intern_Nikhil_Kumar_February2026[[#This Row],[Total]]-Data_Analyst_Intern_Nikhil_Kumar_February2026[[#This Row],[Discount Amount]]</f>
        <v>1329.05</v>
      </c>
      <c r="T290" t="s">
        <v>112</v>
      </c>
      <c r="U290" t="s">
        <v>31</v>
      </c>
      <c r="V290" t="s">
        <v>119</v>
      </c>
      <c r="W290" t="s">
        <v>120</v>
      </c>
      <c r="X290" t="s">
        <v>46</v>
      </c>
      <c r="Y290" s="1">
        <v>45661</v>
      </c>
      <c r="Z290" s="3">
        <f>Data_Analyst_Intern_Nikhil_Kumar_February2026[[#This Row],[Del Date]]-Data_Analyst_Intern_Nikhil_Kumar_February2026[[#This Row],[Order Date]]</f>
        <v>19</v>
      </c>
      <c r="AA290" s="3" t="str" cm="1">
        <f t="array" ref="AA290">_xlfn.IFS(Data_Analyst_Intern_Nikhil_Kumar_February2026[[#This Row],[Del Days]]&lt;=7,"Fast",Data_Analyst_Intern_Nikhil_Kumar_February2026[[#This Row],[Del Days]]&lt;=15,"Standard",Data_Analyst_Intern_Nikhil_Kumar_February2026[[#This Row],[Del Days]]&gt;15,"Slow")</f>
        <v>Slow</v>
      </c>
      <c r="AB290" t="s">
        <v>34</v>
      </c>
      <c r="AC290">
        <f>IF(Data_Analyst_Intern_Nikhil_Kumar_February2026[[#This Row],[Status]]="RTO", 1,0)</f>
        <v>0</v>
      </c>
      <c r="AD290">
        <f>IF(Data_Analyst_Intern_Nikhil_Kumar_February2026[[#This Row],[Status]]="Delivered",1,0)</f>
        <v>1</v>
      </c>
      <c r="AE290" t="s">
        <v>35</v>
      </c>
      <c r="AF290">
        <f>IF(AND(Data_Analyst_Intern_Nikhil_Kumar_February2026[[#This Row],[Status]]="Delivered",Data_Analyst_Intern_Nikhil_Kumar_February2026[[#This Row],[Return?]]="Yes"),1,0)</f>
        <v>0</v>
      </c>
      <c r="AG290" t="s">
        <v>29</v>
      </c>
      <c r="AI290" t="s">
        <v>36</v>
      </c>
    </row>
    <row r="291" spans="1:35" x14ac:dyDescent="0.3">
      <c r="A291" t="s">
        <v>1253</v>
      </c>
      <c r="B291" s="1">
        <v>45643</v>
      </c>
      <c r="C291" s="1" t="str">
        <f>TEXT(Data_Analyst_Intern_Nikhil_Kumar_February2026[[#This Row],[Order Date]], "mmmm")</f>
        <v>December</v>
      </c>
      <c r="D291" s="23">
        <f>WEEKNUM(Data_Analyst_Intern_Nikhil_Kumar_February2026[[#This Row],[Order Date]],2)</f>
        <v>51</v>
      </c>
      <c r="E291" s="23" t="str">
        <f>TEXT(Data_Analyst_Intern_Nikhil_Kumar_February2026[[#This Row],[Order Date]],"dddd")</f>
        <v>Tuesday</v>
      </c>
      <c r="F291" s="1">
        <v>45642</v>
      </c>
      <c r="G291" s="23" t="str">
        <f>TEXT(WEEKDAY(Data_Analyst_Intern_Nikhil_Kumar_February2026[[#This Row],[Order Date]],2), "dddd")</f>
        <v>Monday</v>
      </c>
      <c r="H291" t="s">
        <v>1254</v>
      </c>
      <c r="I291" t="s">
        <v>25</v>
      </c>
      <c r="J291" t="s">
        <v>1255</v>
      </c>
      <c r="K291" t="s">
        <v>27</v>
      </c>
      <c r="L291" t="s">
        <v>1256</v>
      </c>
      <c r="M291" s="2">
        <v>1799</v>
      </c>
      <c r="N291">
        <v>1</v>
      </c>
      <c r="O291" s="2">
        <v>1799</v>
      </c>
      <c r="P291" t="s">
        <v>29</v>
      </c>
      <c r="Q291">
        <v>0</v>
      </c>
      <c r="R291" s="4">
        <f>IFERROR(Data_Analyst_Intern_Nikhil_Kumar_February2026[[#This Row],[Total]]/Data_Analyst_Intern_Nikhil_Kumar_February2026[[#This Row],[Discount(%)]],0)</f>
        <v>0</v>
      </c>
      <c r="S291" s="2">
        <f>Data_Analyst_Intern_Nikhil_Kumar_February2026[[#This Row],[Total]]-Data_Analyst_Intern_Nikhil_Kumar_February2026[[#This Row],[Discount Amount]]</f>
        <v>1799</v>
      </c>
      <c r="T291" t="s">
        <v>65</v>
      </c>
      <c r="U291" t="s">
        <v>45</v>
      </c>
      <c r="V291" t="s">
        <v>138</v>
      </c>
      <c r="W291" t="s">
        <v>114</v>
      </c>
      <c r="X291" t="s">
        <v>46</v>
      </c>
      <c r="Y291" s="1">
        <v>45662</v>
      </c>
      <c r="Z291" s="3">
        <f>Data_Analyst_Intern_Nikhil_Kumar_February2026[[#This Row],[Del Date]]-Data_Analyst_Intern_Nikhil_Kumar_February2026[[#This Row],[Order Date]]</f>
        <v>19</v>
      </c>
      <c r="AA291" s="3" t="str" cm="1">
        <f t="array" ref="AA291">_xlfn.IFS(Data_Analyst_Intern_Nikhil_Kumar_February2026[[#This Row],[Del Days]]&lt;=7,"Fast",Data_Analyst_Intern_Nikhil_Kumar_February2026[[#This Row],[Del Days]]&lt;=15,"Standard",Data_Analyst_Intern_Nikhil_Kumar_February2026[[#This Row],[Del Days]]&gt;15,"Slow")</f>
        <v>Slow</v>
      </c>
      <c r="AB291" t="s">
        <v>34</v>
      </c>
      <c r="AC291">
        <f>IF(Data_Analyst_Intern_Nikhil_Kumar_February2026[[#This Row],[Status]]="RTO", 1,0)</f>
        <v>0</v>
      </c>
      <c r="AD291">
        <f>IF(Data_Analyst_Intern_Nikhil_Kumar_February2026[[#This Row],[Status]]="Delivered",1,0)</f>
        <v>1</v>
      </c>
      <c r="AE291" t="s">
        <v>47</v>
      </c>
      <c r="AF291">
        <f>IF(AND(Data_Analyst_Intern_Nikhil_Kumar_February2026[[#This Row],[Status]]="Delivered",Data_Analyst_Intern_Nikhil_Kumar_February2026[[#This Row],[Return?]]="Yes"),1,0)</f>
        <v>1</v>
      </c>
      <c r="AG291" t="s">
        <v>69</v>
      </c>
      <c r="AH291" s="1">
        <v>45689</v>
      </c>
      <c r="AI291" t="s">
        <v>49</v>
      </c>
    </row>
    <row r="292" spans="1:35" x14ac:dyDescent="0.3">
      <c r="A292" t="s">
        <v>1257</v>
      </c>
      <c r="B292" s="1">
        <v>45643</v>
      </c>
      <c r="C292" s="1" t="str">
        <f>TEXT(Data_Analyst_Intern_Nikhil_Kumar_February2026[[#This Row],[Order Date]], "mmmm")</f>
        <v>December</v>
      </c>
      <c r="D292" s="23">
        <f>WEEKNUM(Data_Analyst_Intern_Nikhil_Kumar_February2026[[#This Row],[Order Date]],2)</f>
        <v>51</v>
      </c>
      <c r="E292" s="23" t="str">
        <f>TEXT(Data_Analyst_Intern_Nikhil_Kumar_February2026[[#This Row],[Order Date]],"dddd")</f>
        <v>Tuesday</v>
      </c>
      <c r="F292" s="1">
        <v>45642</v>
      </c>
      <c r="G292" s="23" t="str">
        <f>TEXT(WEEKDAY(Data_Analyst_Intern_Nikhil_Kumar_February2026[[#This Row],[Order Date]],2), "dddd")</f>
        <v>Monday</v>
      </c>
      <c r="H292" t="s">
        <v>1258</v>
      </c>
      <c r="I292" t="s">
        <v>25</v>
      </c>
      <c r="J292" t="s">
        <v>1259</v>
      </c>
      <c r="K292" t="s">
        <v>41</v>
      </c>
      <c r="L292" t="s">
        <v>1260</v>
      </c>
      <c r="M292" s="2">
        <v>4199</v>
      </c>
      <c r="N292">
        <v>1</v>
      </c>
      <c r="O292" s="2">
        <v>4199</v>
      </c>
      <c r="P292" t="s">
        <v>29</v>
      </c>
      <c r="Q292">
        <v>0</v>
      </c>
      <c r="R292" s="4">
        <f>IFERROR(Data_Analyst_Intern_Nikhil_Kumar_February2026[[#This Row],[Total]]/Data_Analyst_Intern_Nikhil_Kumar_February2026[[#This Row],[Discount(%)]],0)</f>
        <v>0</v>
      </c>
      <c r="S292" s="2">
        <f>Data_Analyst_Intern_Nikhil_Kumar_February2026[[#This Row],[Total]]-Data_Analyst_Intern_Nikhil_Kumar_February2026[[#This Row],[Discount Amount]]</f>
        <v>4199</v>
      </c>
      <c r="T292" t="s">
        <v>44</v>
      </c>
      <c r="U292" t="s">
        <v>66</v>
      </c>
      <c r="V292" t="s">
        <v>144</v>
      </c>
      <c r="W292" t="s">
        <v>145</v>
      </c>
      <c r="X292" t="s">
        <v>46</v>
      </c>
      <c r="Y292" s="1">
        <v>45663</v>
      </c>
      <c r="Z292" s="3">
        <f>Data_Analyst_Intern_Nikhil_Kumar_February2026[[#This Row],[Del Date]]-Data_Analyst_Intern_Nikhil_Kumar_February2026[[#This Row],[Order Date]]</f>
        <v>20</v>
      </c>
      <c r="AA292" s="3" t="str" cm="1">
        <f t="array" ref="AA292">_xlfn.IFS(Data_Analyst_Intern_Nikhil_Kumar_February2026[[#This Row],[Del Days]]&lt;=7,"Fast",Data_Analyst_Intern_Nikhil_Kumar_February2026[[#This Row],[Del Days]]&lt;=15,"Standard",Data_Analyst_Intern_Nikhil_Kumar_February2026[[#This Row],[Del Days]]&gt;15,"Slow")</f>
        <v>Slow</v>
      </c>
      <c r="AB292" t="s">
        <v>34</v>
      </c>
      <c r="AC292">
        <f>IF(Data_Analyst_Intern_Nikhil_Kumar_February2026[[#This Row],[Status]]="RTO", 1,0)</f>
        <v>0</v>
      </c>
      <c r="AD292">
        <f>IF(Data_Analyst_Intern_Nikhil_Kumar_February2026[[#This Row],[Status]]="Delivered",1,0)</f>
        <v>1</v>
      </c>
      <c r="AE292" t="s">
        <v>47</v>
      </c>
      <c r="AF292">
        <f>IF(AND(Data_Analyst_Intern_Nikhil_Kumar_February2026[[#This Row],[Status]]="Delivered",Data_Analyst_Intern_Nikhil_Kumar_February2026[[#This Row],[Return?]]="Yes"),1,0)</f>
        <v>1</v>
      </c>
      <c r="AG292" t="s">
        <v>48</v>
      </c>
      <c r="AH292" s="1">
        <v>45691</v>
      </c>
      <c r="AI292" t="s">
        <v>49</v>
      </c>
    </row>
    <row r="293" spans="1:35" x14ac:dyDescent="0.3">
      <c r="A293" t="s">
        <v>1261</v>
      </c>
      <c r="B293" s="1">
        <v>45643</v>
      </c>
      <c r="C293" s="1" t="str">
        <f>TEXT(Data_Analyst_Intern_Nikhil_Kumar_February2026[[#This Row],[Order Date]], "mmmm")</f>
        <v>December</v>
      </c>
      <c r="D293" s="23">
        <f>WEEKNUM(Data_Analyst_Intern_Nikhil_Kumar_February2026[[#This Row],[Order Date]],2)</f>
        <v>51</v>
      </c>
      <c r="E293" s="23" t="str">
        <f>TEXT(Data_Analyst_Intern_Nikhil_Kumar_February2026[[#This Row],[Order Date]],"dddd")</f>
        <v>Tuesday</v>
      </c>
      <c r="F293" s="1">
        <v>45642</v>
      </c>
      <c r="G293" s="23" t="str">
        <f>TEXT(WEEKDAY(Data_Analyst_Intern_Nikhil_Kumar_February2026[[#This Row],[Order Date]],2), "dddd")</f>
        <v>Monday</v>
      </c>
      <c r="H293" t="s">
        <v>1262</v>
      </c>
      <c r="I293" t="s">
        <v>25</v>
      </c>
      <c r="J293" t="s">
        <v>1263</v>
      </c>
      <c r="K293" t="s">
        <v>54</v>
      </c>
      <c r="L293" t="s">
        <v>1264</v>
      </c>
      <c r="M293" s="2">
        <v>2799</v>
      </c>
      <c r="N293">
        <v>1</v>
      </c>
      <c r="O293" s="2">
        <v>2799</v>
      </c>
      <c r="P293" t="s">
        <v>995</v>
      </c>
      <c r="Q293">
        <v>20</v>
      </c>
      <c r="R293" s="4">
        <f>IFERROR(Data_Analyst_Intern_Nikhil_Kumar_February2026[[#This Row],[Total]]/Data_Analyst_Intern_Nikhil_Kumar_February2026[[#This Row],[Discount(%)]],0)</f>
        <v>139.94999999999999</v>
      </c>
      <c r="S293" s="2">
        <f>Data_Analyst_Intern_Nikhil_Kumar_February2026[[#This Row],[Total]]-Data_Analyst_Intern_Nikhil_Kumar_February2026[[#This Row],[Discount Amount]]</f>
        <v>2659.05</v>
      </c>
      <c r="T293" t="s">
        <v>30</v>
      </c>
      <c r="U293" t="s">
        <v>31</v>
      </c>
      <c r="V293" t="s">
        <v>150</v>
      </c>
      <c r="W293" t="s">
        <v>151</v>
      </c>
      <c r="X293" t="s">
        <v>32</v>
      </c>
      <c r="Y293" s="1">
        <v>45663</v>
      </c>
      <c r="Z293" s="3">
        <f>Data_Analyst_Intern_Nikhil_Kumar_February2026[[#This Row],[Del Date]]-Data_Analyst_Intern_Nikhil_Kumar_February2026[[#This Row],[Order Date]]</f>
        <v>20</v>
      </c>
      <c r="AA293" s="3" t="str" cm="1">
        <f t="array" ref="AA293">_xlfn.IFS(Data_Analyst_Intern_Nikhil_Kumar_February2026[[#This Row],[Del Days]]&lt;=7,"Fast",Data_Analyst_Intern_Nikhil_Kumar_February2026[[#This Row],[Del Days]]&lt;=15,"Standard",Data_Analyst_Intern_Nikhil_Kumar_February2026[[#This Row],[Del Days]]&gt;15,"Slow")</f>
        <v>Slow</v>
      </c>
      <c r="AB293" t="s">
        <v>34</v>
      </c>
      <c r="AC293">
        <f>IF(Data_Analyst_Intern_Nikhil_Kumar_February2026[[#This Row],[Status]]="RTO", 1,0)</f>
        <v>0</v>
      </c>
      <c r="AD293">
        <f>IF(Data_Analyst_Intern_Nikhil_Kumar_February2026[[#This Row],[Status]]="Delivered",1,0)</f>
        <v>1</v>
      </c>
      <c r="AE293" t="s">
        <v>35</v>
      </c>
      <c r="AF293">
        <f>IF(AND(Data_Analyst_Intern_Nikhil_Kumar_February2026[[#This Row],[Status]]="Delivered",Data_Analyst_Intern_Nikhil_Kumar_February2026[[#This Row],[Return?]]="Yes"),1,0)</f>
        <v>0</v>
      </c>
      <c r="AG293" t="s">
        <v>29</v>
      </c>
      <c r="AI293" t="s">
        <v>36</v>
      </c>
    </row>
    <row r="294" spans="1:35" x14ac:dyDescent="0.3">
      <c r="A294" t="s">
        <v>1265</v>
      </c>
      <c r="B294" s="1">
        <v>45643</v>
      </c>
      <c r="C294" s="1" t="str">
        <f>TEXT(Data_Analyst_Intern_Nikhil_Kumar_February2026[[#This Row],[Order Date]], "mmmm")</f>
        <v>December</v>
      </c>
      <c r="D294" s="23">
        <f>WEEKNUM(Data_Analyst_Intern_Nikhil_Kumar_February2026[[#This Row],[Order Date]],2)</f>
        <v>51</v>
      </c>
      <c r="E294" s="23" t="str">
        <f>TEXT(Data_Analyst_Intern_Nikhil_Kumar_February2026[[#This Row],[Order Date]],"dddd")</f>
        <v>Tuesday</v>
      </c>
      <c r="F294" s="1">
        <v>45642</v>
      </c>
      <c r="G294" s="23" t="str">
        <f>TEXT(WEEKDAY(Data_Analyst_Intern_Nikhil_Kumar_February2026[[#This Row],[Order Date]],2), "dddd")</f>
        <v>Monday</v>
      </c>
      <c r="H294" t="s">
        <v>1266</v>
      </c>
      <c r="I294" t="s">
        <v>25</v>
      </c>
      <c r="J294" t="s">
        <v>1267</v>
      </c>
      <c r="K294" t="s">
        <v>62</v>
      </c>
      <c r="L294" t="s">
        <v>1268</v>
      </c>
      <c r="M294" s="2">
        <v>5499</v>
      </c>
      <c r="N294">
        <v>1</v>
      </c>
      <c r="O294" s="2">
        <v>5499</v>
      </c>
      <c r="P294" t="s">
        <v>29</v>
      </c>
      <c r="Q294">
        <v>0</v>
      </c>
      <c r="R294" s="4">
        <f>IFERROR(Data_Analyst_Intern_Nikhil_Kumar_February2026[[#This Row],[Total]]/Data_Analyst_Intern_Nikhil_Kumar_February2026[[#This Row],[Discount(%)]],0)</f>
        <v>0</v>
      </c>
      <c r="S294" s="2">
        <f>Data_Analyst_Intern_Nikhil_Kumar_February2026[[#This Row],[Total]]-Data_Analyst_Intern_Nikhil_Kumar_February2026[[#This Row],[Discount Amount]]</f>
        <v>5499</v>
      </c>
      <c r="T294" t="s">
        <v>56</v>
      </c>
      <c r="U294" t="s">
        <v>45</v>
      </c>
      <c r="V294" t="s">
        <v>156</v>
      </c>
      <c r="W294" t="s">
        <v>98</v>
      </c>
      <c r="X294" t="s">
        <v>32</v>
      </c>
      <c r="Y294" s="1">
        <v>45664</v>
      </c>
      <c r="Z294" s="3">
        <f>Data_Analyst_Intern_Nikhil_Kumar_February2026[[#This Row],[Del Date]]-Data_Analyst_Intern_Nikhil_Kumar_February2026[[#This Row],[Order Date]]</f>
        <v>21</v>
      </c>
      <c r="AA294" s="3" t="str" cm="1">
        <f t="array" ref="AA294">_xlfn.IFS(Data_Analyst_Intern_Nikhil_Kumar_February2026[[#This Row],[Del Days]]&lt;=7,"Fast",Data_Analyst_Intern_Nikhil_Kumar_February2026[[#This Row],[Del Days]]&lt;=15,"Standard",Data_Analyst_Intern_Nikhil_Kumar_February2026[[#This Row],[Del Days]]&gt;15,"Slow")</f>
        <v>Slow</v>
      </c>
      <c r="AB294" t="s">
        <v>34</v>
      </c>
      <c r="AC294">
        <f>IF(Data_Analyst_Intern_Nikhil_Kumar_February2026[[#This Row],[Status]]="RTO", 1,0)</f>
        <v>0</v>
      </c>
      <c r="AD294">
        <f>IF(Data_Analyst_Intern_Nikhil_Kumar_February2026[[#This Row],[Status]]="Delivered",1,0)</f>
        <v>1</v>
      </c>
      <c r="AE294" t="s">
        <v>47</v>
      </c>
      <c r="AF294">
        <f>IF(AND(Data_Analyst_Intern_Nikhil_Kumar_February2026[[#This Row],[Status]]="Delivered",Data_Analyst_Intern_Nikhil_Kumar_February2026[[#This Row],[Return?]]="Yes"),1,0)</f>
        <v>1</v>
      </c>
      <c r="AG294" t="s">
        <v>105</v>
      </c>
      <c r="AH294" s="1">
        <v>45692</v>
      </c>
      <c r="AI294" t="s">
        <v>49</v>
      </c>
    </row>
    <row r="295" spans="1:35" x14ac:dyDescent="0.3">
      <c r="A295" t="s">
        <v>1269</v>
      </c>
      <c r="B295" s="1">
        <v>45644</v>
      </c>
      <c r="C295" s="1" t="str">
        <f>TEXT(Data_Analyst_Intern_Nikhil_Kumar_February2026[[#This Row],[Order Date]], "mmmm")</f>
        <v>December</v>
      </c>
      <c r="D295" s="23">
        <f>WEEKNUM(Data_Analyst_Intern_Nikhil_Kumar_February2026[[#This Row],[Order Date]],2)</f>
        <v>51</v>
      </c>
      <c r="E295" s="23" t="str">
        <f>TEXT(Data_Analyst_Intern_Nikhil_Kumar_February2026[[#This Row],[Order Date]],"dddd")</f>
        <v>Wednesday</v>
      </c>
      <c r="F295" s="1">
        <v>45642</v>
      </c>
      <c r="G295" s="23" t="str">
        <f>TEXT(WEEKDAY(Data_Analyst_Intern_Nikhil_Kumar_February2026[[#This Row],[Order Date]],2), "dddd")</f>
        <v>Tuesday</v>
      </c>
      <c r="H295" t="s">
        <v>1270</v>
      </c>
      <c r="I295" t="s">
        <v>39</v>
      </c>
      <c r="J295" t="s">
        <v>1271</v>
      </c>
      <c r="K295" t="s">
        <v>72</v>
      </c>
      <c r="L295" t="s">
        <v>1272</v>
      </c>
      <c r="M295" s="2">
        <v>699</v>
      </c>
      <c r="N295">
        <v>2</v>
      </c>
      <c r="O295" s="2">
        <v>1398</v>
      </c>
      <c r="P295" t="s">
        <v>29</v>
      </c>
      <c r="Q295">
        <v>0</v>
      </c>
      <c r="R295" s="4">
        <f>IFERROR(Data_Analyst_Intern_Nikhil_Kumar_February2026[[#This Row],[Total]]/Data_Analyst_Intern_Nikhil_Kumar_February2026[[#This Row],[Discount(%)]],0)</f>
        <v>0</v>
      </c>
      <c r="S295" s="2">
        <f>Data_Analyst_Intern_Nikhil_Kumar_February2026[[#This Row],[Total]]-Data_Analyst_Intern_Nikhil_Kumar_February2026[[#This Row],[Discount Amount]]</f>
        <v>1398</v>
      </c>
      <c r="T295" t="s">
        <v>112</v>
      </c>
      <c r="U295" t="s">
        <v>66</v>
      </c>
      <c r="V295" t="s">
        <v>161</v>
      </c>
      <c r="W295" t="s">
        <v>162</v>
      </c>
      <c r="X295" t="s">
        <v>46</v>
      </c>
      <c r="Y295" s="1">
        <v>45663</v>
      </c>
      <c r="Z295" s="3">
        <f>Data_Analyst_Intern_Nikhil_Kumar_February2026[[#This Row],[Del Date]]-Data_Analyst_Intern_Nikhil_Kumar_February2026[[#This Row],[Order Date]]</f>
        <v>19</v>
      </c>
      <c r="AA295" s="3" t="str" cm="1">
        <f t="array" ref="AA295">_xlfn.IFS(Data_Analyst_Intern_Nikhil_Kumar_February2026[[#This Row],[Del Days]]&lt;=7,"Fast",Data_Analyst_Intern_Nikhil_Kumar_February2026[[#This Row],[Del Days]]&lt;=15,"Standard",Data_Analyst_Intern_Nikhil_Kumar_February2026[[#This Row],[Del Days]]&gt;15,"Slow")</f>
        <v>Slow</v>
      </c>
      <c r="AB295" t="s">
        <v>34</v>
      </c>
      <c r="AC295">
        <f>IF(Data_Analyst_Intern_Nikhil_Kumar_February2026[[#This Row],[Status]]="RTO", 1,0)</f>
        <v>0</v>
      </c>
      <c r="AD295">
        <f>IF(Data_Analyst_Intern_Nikhil_Kumar_February2026[[#This Row],[Status]]="Delivered",1,0)</f>
        <v>1</v>
      </c>
      <c r="AE295" t="s">
        <v>35</v>
      </c>
      <c r="AF295">
        <f>IF(AND(Data_Analyst_Intern_Nikhil_Kumar_February2026[[#This Row],[Status]]="Delivered",Data_Analyst_Intern_Nikhil_Kumar_February2026[[#This Row],[Return?]]="Yes"),1,0)</f>
        <v>0</v>
      </c>
      <c r="AG295" t="s">
        <v>29</v>
      </c>
      <c r="AI295" t="s">
        <v>36</v>
      </c>
    </row>
    <row r="296" spans="1:35" x14ac:dyDescent="0.3">
      <c r="A296" t="s">
        <v>1273</v>
      </c>
      <c r="B296" s="1">
        <v>45644</v>
      </c>
      <c r="C296" s="1" t="str">
        <f>TEXT(Data_Analyst_Intern_Nikhil_Kumar_February2026[[#This Row],[Order Date]], "mmmm")</f>
        <v>December</v>
      </c>
      <c r="D296" s="23">
        <f>WEEKNUM(Data_Analyst_Intern_Nikhil_Kumar_February2026[[#This Row],[Order Date]],2)</f>
        <v>51</v>
      </c>
      <c r="E296" s="23" t="str">
        <f>TEXT(Data_Analyst_Intern_Nikhil_Kumar_February2026[[#This Row],[Order Date]],"dddd")</f>
        <v>Wednesday</v>
      </c>
      <c r="F296" s="1">
        <v>45642</v>
      </c>
      <c r="G296" s="23" t="str">
        <f>TEXT(WEEKDAY(Data_Analyst_Intern_Nikhil_Kumar_February2026[[#This Row],[Order Date]],2), "dddd")</f>
        <v>Tuesday</v>
      </c>
      <c r="H296" t="s">
        <v>1274</v>
      </c>
      <c r="I296" t="s">
        <v>25</v>
      </c>
      <c r="J296" t="s">
        <v>1275</v>
      </c>
      <c r="K296" t="s">
        <v>27</v>
      </c>
      <c r="L296" t="s">
        <v>1276</v>
      </c>
      <c r="M296" s="2">
        <v>2299</v>
      </c>
      <c r="N296">
        <v>1</v>
      </c>
      <c r="O296" s="2">
        <v>2299</v>
      </c>
      <c r="P296" t="s">
        <v>995</v>
      </c>
      <c r="Q296">
        <v>20</v>
      </c>
      <c r="R296" s="4">
        <f>IFERROR(Data_Analyst_Intern_Nikhil_Kumar_February2026[[#This Row],[Total]]/Data_Analyst_Intern_Nikhil_Kumar_February2026[[#This Row],[Discount(%)]],0)</f>
        <v>114.95</v>
      </c>
      <c r="S296" s="2">
        <f>Data_Analyst_Intern_Nikhil_Kumar_February2026[[#This Row],[Total]]-Data_Analyst_Intern_Nikhil_Kumar_February2026[[#This Row],[Discount Amount]]</f>
        <v>2184.0500000000002</v>
      </c>
      <c r="T296" t="s">
        <v>65</v>
      </c>
      <c r="U296" t="s">
        <v>31</v>
      </c>
      <c r="V296" t="s">
        <v>167</v>
      </c>
      <c r="W296" t="s">
        <v>151</v>
      </c>
      <c r="X296" t="s">
        <v>32</v>
      </c>
      <c r="Y296" s="1">
        <v>45664</v>
      </c>
      <c r="Z296" s="3">
        <f>Data_Analyst_Intern_Nikhil_Kumar_February2026[[#This Row],[Del Date]]-Data_Analyst_Intern_Nikhil_Kumar_February2026[[#This Row],[Order Date]]</f>
        <v>20</v>
      </c>
      <c r="AA296" s="3" t="str" cm="1">
        <f t="array" ref="AA296">_xlfn.IFS(Data_Analyst_Intern_Nikhil_Kumar_February2026[[#This Row],[Del Days]]&lt;=7,"Fast",Data_Analyst_Intern_Nikhil_Kumar_February2026[[#This Row],[Del Days]]&lt;=15,"Standard",Data_Analyst_Intern_Nikhil_Kumar_February2026[[#This Row],[Del Days]]&gt;15,"Slow")</f>
        <v>Slow</v>
      </c>
      <c r="AB296" t="s">
        <v>34</v>
      </c>
      <c r="AC296">
        <f>IF(Data_Analyst_Intern_Nikhil_Kumar_February2026[[#This Row],[Status]]="RTO", 1,0)</f>
        <v>0</v>
      </c>
      <c r="AD296">
        <f>IF(Data_Analyst_Intern_Nikhil_Kumar_February2026[[#This Row],[Status]]="Delivered",1,0)</f>
        <v>1</v>
      </c>
      <c r="AE296" t="s">
        <v>47</v>
      </c>
      <c r="AF296">
        <f>IF(AND(Data_Analyst_Intern_Nikhil_Kumar_February2026[[#This Row],[Status]]="Delivered",Data_Analyst_Intern_Nikhil_Kumar_February2026[[#This Row],[Return?]]="Yes"),1,0)</f>
        <v>1</v>
      </c>
      <c r="AG296" t="s">
        <v>139</v>
      </c>
      <c r="AH296" s="1">
        <v>45691</v>
      </c>
      <c r="AI296" t="s">
        <v>49</v>
      </c>
    </row>
    <row r="297" spans="1:35" x14ac:dyDescent="0.3">
      <c r="A297" t="s">
        <v>1277</v>
      </c>
      <c r="B297" s="1">
        <v>45644</v>
      </c>
      <c r="C297" s="1" t="str">
        <f>TEXT(Data_Analyst_Intern_Nikhil_Kumar_February2026[[#This Row],[Order Date]], "mmmm")</f>
        <v>December</v>
      </c>
      <c r="D297" s="23">
        <f>WEEKNUM(Data_Analyst_Intern_Nikhil_Kumar_February2026[[#This Row],[Order Date]],2)</f>
        <v>51</v>
      </c>
      <c r="E297" s="23" t="str">
        <f>TEXT(Data_Analyst_Intern_Nikhil_Kumar_February2026[[#This Row],[Order Date]],"dddd")</f>
        <v>Wednesday</v>
      </c>
      <c r="F297" s="1">
        <v>45642</v>
      </c>
      <c r="G297" s="23" t="str">
        <f>TEXT(WEEKDAY(Data_Analyst_Intern_Nikhil_Kumar_February2026[[#This Row],[Order Date]],2), "dddd")</f>
        <v>Tuesday</v>
      </c>
      <c r="H297" t="s">
        <v>1278</v>
      </c>
      <c r="I297" t="s">
        <v>25</v>
      </c>
      <c r="J297" t="s">
        <v>1279</v>
      </c>
      <c r="K297" t="s">
        <v>41</v>
      </c>
      <c r="L297" t="s">
        <v>1280</v>
      </c>
      <c r="M297" s="2">
        <v>3599</v>
      </c>
      <c r="N297">
        <v>1</v>
      </c>
      <c r="O297" s="2">
        <v>3599</v>
      </c>
      <c r="P297" t="s">
        <v>29</v>
      </c>
      <c r="Q297">
        <v>0</v>
      </c>
      <c r="R297" s="4">
        <f>IFERROR(Data_Analyst_Intern_Nikhil_Kumar_February2026[[#This Row],[Total]]/Data_Analyst_Intern_Nikhil_Kumar_February2026[[#This Row],[Discount(%)]],0)</f>
        <v>0</v>
      </c>
      <c r="S297" s="2">
        <f>Data_Analyst_Intern_Nikhil_Kumar_February2026[[#This Row],[Total]]-Data_Analyst_Intern_Nikhil_Kumar_February2026[[#This Row],[Discount Amount]]</f>
        <v>3599</v>
      </c>
      <c r="T297" t="s">
        <v>44</v>
      </c>
      <c r="U297" t="s">
        <v>45</v>
      </c>
      <c r="V297" t="s">
        <v>172</v>
      </c>
      <c r="W297" t="s">
        <v>33</v>
      </c>
      <c r="X297" t="s">
        <v>32</v>
      </c>
      <c r="Y297" s="1">
        <v>45665</v>
      </c>
      <c r="Z297" s="3">
        <f>Data_Analyst_Intern_Nikhil_Kumar_February2026[[#This Row],[Del Date]]-Data_Analyst_Intern_Nikhil_Kumar_February2026[[#This Row],[Order Date]]</f>
        <v>21</v>
      </c>
      <c r="AA297" s="3" t="str" cm="1">
        <f t="array" ref="AA297">_xlfn.IFS(Data_Analyst_Intern_Nikhil_Kumar_February2026[[#This Row],[Del Days]]&lt;=7,"Fast",Data_Analyst_Intern_Nikhil_Kumar_February2026[[#This Row],[Del Days]]&lt;=15,"Standard",Data_Analyst_Intern_Nikhil_Kumar_February2026[[#This Row],[Del Days]]&gt;15,"Slow")</f>
        <v>Slow</v>
      </c>
      <c r="AB297" t="s">
        <v>34</v>
      </c>
      <c r="AC297">
        <f>IF(Data_Analyst_Intern_Nikhil_Kumar_February2026[[#This Row],[Status]]="RTO", 1,0)</f>
        <v>0</v>
      </c>
      <c r="AD297">
        <f>IF(Data_Analyst_Intern_Nikhil_Kumar_February2026[[#This Row],[Status]]="Delivered",1,0)</f>
        <v>1</v>
      </c>
      <c r="AE297" t="s">
        <v>35</v>
      </c>
      <c r="AF297">
        <f>IF(AND(Data_Analyst_Intern_Nikhil_Kumar_February2026[[#This Row],[Status]]="Delivered",Data_Analyst_Intern_Nikhil_Kumar_February2026[[#This Row],[Return?]]="Yes"),1,0)</f>
        <v>0</v>
      </c>
      <c r="AG297" t="s">
        <v>29</v>
      </c>
      <c r="AI297" t="s">
        <v>36</v>
      </c>
    </row>
    <row r="298" spans="1:35" x14ac:dyDescent="0.3">
      <c r="A298" t="s">
        <v>1281</v>
      </c>
      <c r="B298" s="1">
        <v>45644</v>
      </c>
      <c r="C298" s="1" t="str">
        <f>TEXT(Data_Analyst_Intern_Nikhil_Kumar_February2026[[#This Row],[Order Date]], "mmmm")</f>
        <v>December</v>
      </c>
      <c r="D298" s="23">
        <f>WEEKNUM(Data_Analyst_Intern_Nikhil_Kumar_February2026[[#This Row],[Order Date]],2)</f>
        <v>51</v>
      </c>
      <c r="E298" s="23" t="str">
        <f>TEXT(Data_Analyst_Intern_Nikhil_Kumar_February2026[[#This Row],[Order Date]],"dddd")</f>
        <v>Wednesday</v>
      </c>
      <c r="F298" s="1">
        <v>45642</v>
      </c>
      <c r="G298" s="23" t="str">
        <f>TEXT(WEEKDAY(Data_Analyst_Intern_Nikhil_Kumar_February2026[[#This Row],[Order Date]],2), "dddd")</f>
        <v>Tuesday</v>
      </c>
      <c r="H298" t="s">
        <v>1282</v>
      </c>
      <c r="I298" t="s">
        <v>25</v>
      </c>
      <c r="J298" t="s">
        <v>1283</v>
      </c>
      <c r="K298" t="s">
        <v>54</v>
      </c>
      <c r="L298" t="s">
        <v>1284</v>
      </c>
      <c r="M298" s="2">
        <v>2499</v>
      </c>
      <c r="N298">
        <v>1</v>
      </c>
      <c r="O298" s="2">
        <v>2499</v>
      </c>
      <c r="P298" t="s">
        <v>29</v>
      </c>
      <c r="Q298">
        <v>0</v>
      </c>
      <c r="R298" s="4">
        <f>IFERROR(Data_Analyst_Intern_Nikhil_Kumar_February2026[[#This Row],[Total]]/Data_Analyst_Intern_Nikhil_Kumar_February2026[[#This Row],[Discount(%)]],0)</f>
        <v>0</v>
      </c>
      <c r="S298" s="2">
        <f>Data_Analyst_Intern_Nikhil_Kumar_February2026[[#This Row],[Total]]-Data_Analyst_Intern_Nikhil_Kumar_February2026[[#This Row],[Discount Amount]]</f>
        <v>2499</v>
      </c>
      <c r="T298" t="s">
        <v>30</v>
      </c>
      <c r="U298" t="s">
        <v>66</v>
      </c>
      <c r="V298" t="s">
        <v>177</v>
      </c>
      <c r="W298" t="s">
        <v>68</v>
      </c>
      <c r="X298" t="s">
        <v>57</v>
      </c>
      <c r="Y298" s="1">
        <v>45665</v>
      </c>
      <c r="Z298" s="3">
        <f>Data_Analyst_Intern_Nikhil_Kumar_February2026[[#This Row],[Del Date]]-Data_Analyst_Intern_Nikhil_Kumar_February2026[[#This Row],[Order Date]]</f>
        <v>21</v>
      </c>
      <c r="AA298" s="3" t="str" cm="1">
        <f t="array" ref="AA298">_xlfn.IFS(Data_Analyst_Intern_Nikhil_Kumar_February2026[[#This Row],[Del Days]]&lt;=7,"Fast",Data_Analyst_Intern_Nikhil_Kumar_February2026[[#This Row],[Del Days]]&lt;=15,"Standard",Data_Analyst_Intern_Nikhil_Kumar_February2026[[#This Row],[Del Days]]&gt;15,"Slow")</f>
        <v>Slow</v>
      </c>
      <c r="AB298" t="s">
        <v>34</v>
      </c>
      <c r="AC298">
        <f>IF(Data_Analyst_Intern_Nikhil_Kumar_February2026[[#This Row],[Status]]="RTO", 1,0)</f>
        <v>0</v>
      </c>
      <c r="AD298">
        <f>IF(Data_Analyst_Intern_Nikhil_Kumar_February2026[[#This Row],[Status]]="Delivered",1,0)</f>
        <v>1</v>
      </c>
      <c r="AE298" t="s">
        <v>47</v>
      </c>
      <c r="AF298">
        <f>IF(AND(Data_Analyst_Intern_Nikhil_Kumar_February2026[[#This Row],[Status]]="Delivered",Data_Analyst_Intern_Nikhil_Kumar_February2026[[#This Row],[Return?]]="Yes"),1,0)</f>
        <v>1</v>
      </c>
      <c r="AG298" t="s">
        <v>48</v>
      </c>
      <c r="AH298" s="1">
        <v>45693</v>
      </c>
      <c r="AI298" t="s">
        <v>49</v>
      </c>
    </row>
    <row r="299" spans="1:35" x14ac:dyDescent="0.3">
      <c r="A299" t="s">
        <v>1285</v>
      </c>
      <c r="B299" s="1">
        <v>45645</v>
      </c>
      <c r="C299" s="1" t="str">
        <f>TEXT(Data_Analyst_Intern_Nikhil_Kumar_February2026[[#This Row],[Order Date]], "mmmm")</f>
        <v>December</v>
      </c>
      <c r="D299" s="23">
        <f>WEEKNUM(Data_Analyst_Intern_Nikhil_Kumar_February2026[[#This Row],[Order Date]],2)</f>
        <v>51</v>
      </c>
      <c r="E299" s="23" t="str">
        <f>TEXT(Data_Analyst_Intern_Nikhil_Kumar_February2026[[#This Row],[Order Date]],"dddd")</f>
        <v>Thursday</v>
      </c>
      <c r="F299" s="1">
        <v>45642</v>
      </c>
      <c r="G299" s="23" t="str">
        <f>TEXT(WEEKDAY(Data_Analyst_Intern_Nikhil_Kumar_February2026[[#This Row],[Order Date]],2), "dddd")</f>
        <v>Wednesday</v>
      </c>
      <c r="H299" t="s">
        <v>1286</v>
      </c>
      <c r="I299" t="s">
        <v>25</v>
      </c>
      <c r="J299" t="s">
        <v>1287</v>
      </c>
      <c r="K299" t="s">
        <v>62</v>
      </c>
      <c r="L299" t="s">
        <v>1288</v>
      </c>
      <c r="M299" s="2">
        <v>6799</v>
      </c>
      <c r="N299">
        <v>1</v>
      </c>
      <c r="O299" s="2">
        <v>6799</v>
      </c>
      <c r="P299" t="s">
        <v>995</v>
      </c>
      <c r="Q299">
        <v>20</v>
      </c>
      <c r="R299" s="4">
        <f>IFERROR(Data_Analyst_Intern_Nikhil_Kumar_February2026[[#This Row],[Total]]/Data_Analyst_Intern_Nikhil_Kumar_February2026[[#This Row],[Discount(%)]],0)</f>
        <v>339.95</v>
      </c>
      <c r="S299" s="2">
        <f>Data_Analyst_Intern_Nikhil_Kumar_February2026[[#This Row],[Total]]-Data_Analyst_Intern_Nikhil_Kumar_February2026[[#This Row],[Discount Amount]]</f>
        <v>6459.05</v>
      </c>
      <c r="T299" t="s">
        <v>56</v>
      </c>
      <c r="U299" t="s">
        <v>31</v>
      </c>
      <c r="V299" t="s">
        <v>182</v>
      </c>
      <c r="W299" t="s">
        <v>183</v>
      </c>
      <c r="X299" t="s">
        <v>57</v>
      </c>
      <c r="Y299" s="1">
        <v>45666</v>
      </c>
      <c r="Z299" s="3">
        <f>Data_Analyst_Intern_Nikhil_Kumar_February2026[[#This Row],[Del Date]]-Data_Analyst_Intern_Nikhil_Kumar_February2026[[#This Row],[Order Date]]</f>
        <v>21</v>
      </c>
      <c r="AA299" s="3" t="str" cm="1">
        <f t="array" ref="AA299">_xlfn.IFS(Data_Analyst_Intern_Nikhil_Kumar_February2026[[#This Row],[Del Days]]&lt;=7,"Fast",Data_Analyst_Intern_Nikhil_Kumar_February2026[[#This Row],[Del Days]]&lt;=15,"Standard",Data_Analyst_Intern_Nikhil_Kumar_February2026[[#This Row],[Del Days]]&gt;15,"Slow")</f>
        <v>Slow</v>
      </c>
      <c r="AB299" t="s">
        <v>34</v>
      </c>
      <c r="AC299">
        <f>IF(Data_Analyst_Intern_Nikhil_Kumar_February2026[[#This Row],[Status]]="RTO", 1,0)</f>
        <v>0</v>
      </c>
      <c r="AD299">
        <f>IF(Data_Analyst_Intern_Nikhil_Kumar_February2026[[#This Row],[Status]]="Delivered",1,0)</f>
        <v>1</v>
      </c>
      <c r="AE299" t="s">
        <v>47</v>
      </c>
      <c r="AF299">
        <f>IF(AND(Data_Analyst_Intern_Nikhil_Kumar_February2026[[#This Row],[Status]]="Delivered",Data_Analyst_Intern_Nikhil_Kumar_February2026[[#This Row],[Return?]]="Yes"),1,0)</f>
        <v>1</v>
      </c>
      <c r="AG299" t="s">
        <v>80</v>
      </c>
      <c r="AH299" s="1">
        <v>45694</v>
      </c>
      <c r="AI299" t="s">
        <v>49</v>
      </c>
    </row>
    <row r="300" spans="1:35" x14ac:dyDescent="0.3">
      <c r="A300" t="s">
        <v>1289</v>
      </c>
      <c r="B300" s="1">
        <v>45645</v>
      </c>
      <c r="C300" s="1" t="str">
        <f>TEXT(Data_Analyst_Intern_Nikhil_Kumar_February2026[[#This Row],[Order Date]], "mmmm")</f>
        <v>December</v>
      </c>
      <c r="D300" s="23">
        <f>WEEKNUM(Data_Analyst_Intern_Nikhil_Kumar_February2026[[#This Row],[Order Date]],2)</f>
        <v>51</v>
      </c>
      <c r="E300" s="23" t="str">
        <f>TEXT(Data_Analyst_Intern_Nikhil_Kumar_February2026[[#This Row],[Order Date]],"dddd")</f>
        <v>Thursday</v>
      </c>
      <c r="F300" s="1">
        <v>45642</v>
      </c>
      <c r="G300" s="23" t="str">
        <f>TEXT(WEEKDAY(Data_Analyst_Intern_Nikhil_Kumar_February2026[[#This Row],[Order Date]],2), "dddd")</f>
        <v>Wednesday</v>
      </c>
      <c r="H300" t="s">
        <v>1290</v>
      </c>
      <c r="I300" t="s">
        <v>39</v>
      </c>
      <c r="J300" t="s">
        <v>1291</v>
      </c>
      <c r="K300" t="s">
        <v>72</v>
      </c>
      <c r="L300" t="s">
        <v>1292</v>
      </c>
      <c r="M300" s="2">
        <v>599</v>
      </c>
      <c r="N300">
        <v>3</v>
      </c>
      <c r="O300" s="2">
        <v>1797</v>
      </c>
      <c r="P300" t="s">
        <v>29</v>
      </c>
      <c r="Q300">
        <v>0</v>
      </c>
      <c r="R300" s="4">
        <f>IFERROR(Data_Analyst_Intern_Nikhil_Kumar_February2026[[#This Row],[Total]]/Data_Analyst_Intern_Nikhil_Kumar_February2026[[#This Row],[Discount(%)]],0)</f>
        <v>0</v>
      </c>
      <c r="S300" s="2">
        <f>Data_Analyst_Intern_Nikhil_Kumar_February2026[[#This Row],[Total]]-Data_Analyst_Intern_Nikhil_Kumar_February2026[[#This Row],[Discount Amount]]</f>
        <v>1797</v>
      </c>
      <c r="T300" t="s">
        <v>112</v>
      </c>
      <c r="U300" t="s">
        <v>45</v>
      </c>
      <c r="V300" t="s">
        <v>188</v>
      </c>
      <c r="W300" t="s">
        <v>189</v>
      </c>
      <c r="X300" t="s">
        <v>57</v>
      </c>
      <c r="Y300" s="1">
        <v>45665</v>
      </c>
      <c r="Z300" s="3">
        <f>Data_Analyst_Intern_Nikhil_Kumar_February2026[[#This Row],[Del Date]]-Data_Analyst_Intern_Nikhil_Kumar_February2026[[#This Row],[Order Date]]</f>
        <v>20</v>
      </c>
      <c r="AA300" s="3" t="str" cm="1">
        <f t="array" ref="AA300">_xlfn.IFS(Data_Analyst_Intern_Nikhil_Kumar_February2026[[#This Row],[Del Days]]&lt;=7,"Fast",Data_Analyst_Intern_Nikhil_Kumar_February2026[[#This Row],[Del Days]]&lt;=15,"Standard",Data_Analyst_Intern_Nikhil_Kumar_February2026[[#This Row],[Del Days]]&gt;15,"Slow")</f>
        <v>Slow</v>
      </c>
      <c r="AB300" t="s">
        <v>34</v>
      </c>
      <c r="AC300">
        <f>IF(Data_Analyst_Intern_Nikhil_Kumar_February2026[[#This Row],[Status]]="RTO", 1,0)</f>
        <v>0</v>
      </c>
      <c r="AD300">
        <f>IF(Data_Analyst_Intern_Nikhil_Kumar_February2026[[#This Row],[Status]]="Delivered",1,0)</f>
        <v>1</v>
      </c>
      <c r="AE300" t="s">
        <v>35</v>
      </c>
      <c r="AF300">
        <f>IF(AND(Data_Analyst_Intern_Nikhil_Kumar_February2026[[#This Row],[Status]]="Delivered",Data_Analyst_Intern_Nikhil_Kumar_February2026[[#This Row],[Return?]]="Yes"),1,0)</f>
        <v>0</v>
      </c>
      <c r="AG300" t="s">
        <v>29</v>
      </c>
      <c r="AI300" t="s">
        <v>36</v>
      </c>
    </row>
    <row r="301" spans="1:35" x14ac:dyDescent="0.3">
      <c r="A301" t="s">
        <v>1293</v>
      </c>
      <c r="B301" s="1">
        <v>45645</v>
      </c>
      <c r="C301" s="1" t="str">
        <f>TEXT(Data_Analyst_Intern_Nikhil_Kumar_February2026[[#This Row],[Order Date]], "mmmm")</f>
        <v>December</v>
      </c>
      <c r="D301" s="23">
        <f>WEEKNUM(Data_Analyst_Intern_Nikhil_Kumar_February2026[[#This Row],[Order Date]],2)</f>
        <v>51</v>
      </c>
      <c r="E301" s="23" t="str">
        <f>TEXT(Data_Analyst_Intern_Nikhil_Kumar_February2026[[#This Row],[Order Date]],"dddd")</f>
        <v>Thursday</v>
      </c>
      <c r="F301" s="1">
        <v>45642</v>
      </c>
      <c r="G301" s="23" t="str">
        <f>TEXT(WEEKDAY(Data_Analyst_Intern_Nikhil_Kumar_February2026[[#This Row],[Order Date]],2), "dddd")</f>
        <v>Wednesday</v>
      </c>
      <c r="H301" t="s">
        <v>1294</v>
      </c>
      <c r="I301" t="s">
        <v>25</v>
      </c>
      <c r="J301" t="s">
        <v>1295</v>
      </c>
      <c r="K301" t="s">
        <v>27</v>
      </c>
      <c r="L301" t="s">
        <v>1296</v>
      </c>
      <c r="M301" s="2">
        <v>1899</v>
      </c>
      <c r="N301">
        <v>1</v>
      </c>
      <c r="O301" s="2">
        <v>1899</v>
      </c>
      <c r="P301" t="s">
        <v>29</v>
      </c>
      <c r="Q301">
        <v>0</v>
      </c>
      <c r="R301" s="4">
        <f>IFERROR(Data_Analyst_Intern_Nikhil_Kumar_February2026[[#This Row],[Total]]/Data_Analyst_Intern_Nikhil_Kumar_February2026[[#This Row],[Discount(%)]],0)</f>
        <v>0</v>
      </c>
      <c r="S301" s="2">
        <f>Data_Analyst_Intern_Nikhil_Kumar_February2026[[#This Row],[Total]]-Data_Analyst_Intern_Nikhil_Kumar_February2026[[#This Row],[Discount Amount]]</f>
        <v>1899</v>
      </c>
      <c r="T301" t="s">
        <v>65</v>
      </c>
      <c r="U301" t="s">
        <v>66</v>
      </c>
      <c r="V301" t="s">
        <v>194</v>
      </c>
      <c r="W301" t="s">
        <v>183</v>
      </c>
      <c r="X301" t="s">
        <v>57</v>
      </c>
      <c r="Y301" s="1">
        <v>45666</v>
      </c>
      <c r="Z301" s="3">
        <f>Data_Analyst_Intern_Nikhil_Kumar_February2026[[#This Row],[Del Date]]-Data_Analyst_Intern_Nikhil_Kumar_February2026[[#This Row],[Order Date]]</f>
        <v>21</v>
      </c>
      <c r="AA301" s="3" t="str" cm="1">
        <f t="array" ref="AA301">_xlfn.IFS(Data_Analyst_Intern_Nikhil_Kumar_February2026[[#This Row],[Del Days]]&lt;=7,"Fast",Data_Analyst_Intern_Nikhil_Kumar_February2026[[#This Row],[Del Days]]&lt;=15,"Standard",Data_Analyst_Intern_Nikhil_Kumar_February2026[[#This Row],[Del Days]]&gt;15,"Slow")</f>
        <v>Slow</v>
      </c>
      <c r="AB301" t="s">
        <v>34</v>
      </c>
      <c r="AC301">
        <f>IF(Data_Analyst_Intern_Nikhil_Kumar_February2026[[#This Row],[Status]]="RTO", 1,0)</f>
        <v>0</v>
      </c>
      <c r="AD301">
        <f>IF(Data_Analyst_Intern_Nikhil_Kumar_February2026[[#This Row],[Status]]="Delivered",1,0)</f>
        <v>1</v>
      </c>
      <c r="AE301" t="s">
        <v>47</v>
      </c>
      <c r="AF301">
        <f>IF(AND(Data_Analyst_Intern_Nikhil_Kumar_February2026[[#This Row],[Status]]="Delivered",Data_Analyst_Intern_Nikhil_Kumar_February2026[[#This Row],[Return?]]="Yes"),1,0)</f>
        <v>1</v>
      </c>
      <c r="AG301" t="s">
        <v>69</v>
      </c>
      <c r="AH301" s="1">
        <v>45693</v>
      </c>
      <c r="AI301" t="s">
        <v>49</v>
      </c>
    </row>
    <row r="302" spans="1:35" x14ac:dyDescent="0.3">
      <c r="A302" t="s">
        <v>1297</v>
      </c>
      <c r="B302" s="1">
        <v>45645</v>
      </c>
      <c r="C302" s="1" t="str">
        <f>TEXT(Data_Analyst_Intern_Nikhil_Kumar_February2026[[#This Row],[Order Date]], "mmmm")</f>
        <v>December</v>
      </c>
      <c r="D302" s="23">
        <f>WEEKNUM(Data_Analyst_Intern_Nikhil_Kumar_February2026[[#This Row],[Order Date]],2)</f>
        <v>51</v>
      </c>
      <c r="E302" s="23" t="str">
        <f>TEXT(Data_Analyst_Intern_Nikhil_Kumar_February2026[[#This Row],[Order Date]],"dddd")</f>
        <v>Thursday</v>
      </c>
      <c r="F302" s="1">
        <v>45642</v>
      </c>
      <c r="G302" s="23" t="str">
        <f>TEXT(WEEKDAY(Data_Analyst_Intern_Nikhil_Kumar_February2026[[#This Row],[Order Date]],2), "dddd")</f>
        <v>Wednesday</v>
      </c>
      <c r="H302" t="s">
        <v>1298</v>
      </c>
      <c r="I302" t="s">
        <v>25</v>
      </c>
      <c r="J302" t="s">
        <v>1299</v>
      </c>
      <c r="K302" t="s">
        <v>41</v>
      </c>
      <c r="L302" t="s">
        <v>1300</v>
      </c>
      <c r="M302" s="2">
        <v>4499</v>
      </c>
      <c r="N302">
        <v>1</v>
      </c>
      <c r="O302" s="2">
        <v>4499</v>
      </c>
      <c r="P302" t="s">
        <v>995</v>
      </c>
      <c r="Q302">
        <v>20</v>
      </c>
      <c r="R302" s="4">
        <f>IFERROR(Data_Analyst_Intern_Nikhil_Kumar_February2026[[#This Row],[Total]]/Data_Analyst_Intern_Nikhil_Kumar_February2026[[#This Row],[Discount(%)]],0)</f>
        <v>224.95</v>
      </c>
      <c r="S302" s="2">
        <f>Data_Analyst_Intern_Nikhil_Kumar_February2026[[#This Row],[Total]]-Data_Analyst_Intern_Nikhil_Kumar_February2026[[#This Row],[Discount Amount]]</f>
        <v>4274.05</v>
      </c>
      <c r="T302" t="s">
        <v>44</v>
      </c>
      <c r="U302" t="s">
        <v>31</v>
      </c>
      <c r="V302" t="s">
        <v>199</v>
      </c>
      <c r="W302" t="s">
        <v>58</v>
      </c>
      <c r="X302" t="s">
        <v>57</v>
      </c>
      <c r="Y302" s="1">
        <v>45667</v>
      </c>
      <c r="Z302" s="3">
        <f>Data_Analyst_Intern_Nikhil_Kumar_February2026[[#This Row],[Del Date]]-Data_Analyst_Intern_Nikhil_Kumar_February2026[[#This Row],[Order Date]]</f>
        <v>22</v>
      </c>
      <c r="AA302" s="3" t="str" cm="1">
        <f t="array" ref="AA302">_xlfn.IFS(Data_Analyst_Intern_Nikhil_Kumar_February2026[[#This Row],[Del Days]]&lt;=7,"Fast",Data_Analyst_Intern_Nikhil_Kumar_February2026[[#This Row],[Del Days]]&lt;=15,"Standard",Data_Analyst_Intern_Nikhil_Kumar_February2026[[#This Row],[Del Days]]&gt;15,"Slow")</f>
        <v>Slow</v>
      </c>
      <c r="AB302" t="s">
        <v>34</v>
      </c>
      <c r="AC302">
        <f>IF(Data_Analyst_Intern_Nikhil_Kumar_February2026[[#This Row],[Status]]="RTO", 1,0)</f>
        <v>0</v>
      </c>
      <c r="AD302">
        <f>IF(Data_Analyst_Intern_Nikhil_Kumar_February2026[[#This Row],[Status]]="Delivered",1,0)</f>
        <v>1</v>
      </c>
      <c r="AE302" t="s">
        <v>47</v>
      </c>
      <c r="AF302">
        <f>IF(AND(Data_Analyst_Intern_Nikhil_Kumar_February2026[[#This Row],[Status]]="Delivered",Data_Analyst_Intern_Nikhil_Kumar_February2026[[#This Row],[Return?]]="Yes"),1,0)</f>
        <v>1</v>
      </c>
      <c r="AG302" t="s">
        <v>48</v>
      </c>
      <c r="AH302" s="1">
        <v>45695</v>
      </c>
      <c r="AI302" t="s">
        <v>49</v>
      </c>
    </row>
    <row r="303" spans="1:35" x14ac:dyDescent="0.3">
      <c r="A303" t="s">
        <v>1301</v>
      </c>
      <c r="B303" s="1">
        <v>45646</v>
      </c>
      <c r="C303" s="1" t="str">
        <f>TEXT(Data_Analyst_Intern_Nikhil_Kumar_February2026[[#This Row],[Order Date]], "mmmm")</f>
        <v>December</v>
      </c>
      <c r="D303" s="23">
        <f>WEEKNUM(Data_Analyst_Intern_Nikhil_Kumar_February2026[[#This Row],[Order Date]],2)</f>
        <v>51</v>
      </c>
      <c r="E303" s="23" t="str">
        <f>TEXT(Data_Analyst_Intern_Nikhil_Kumar_February2026[[#This Row],[Order Date]],"dddd")</f>
        <v>Friday</v>
      </c>
      <c r="F303" s="1">
        <v>45642</v>
      </c>
      <c r="G303" s="23" t="str">
        <f>TEXT(WEEKDAY(Data_Analyst_Intern_Nikhil_Kumar_February2026[[#This Row],[Order Date]],2), "dddd")</f>
        <v>Thursday</v>
      </c>
      <c r="H303" t="s">
        <v>1302</v>
      </c>
      <c r="I303" t="s">
        <v>25</v>
      </c>
      <c r="J303" t="s">
        <v>1303</v>
      </c>
      <c r="K303" t="s">
        <v>54</v>
      </c>
      <c r="L303" t="s">
        <v>1304</v>
      </c>
      <c r="M303" s="2">
        <v>2199</v>
      </c>
      <c r="N303">
        <v>1</v>
      </c>
      <c r="O303" s="2">
        <v>2199</v>
      </c>
      <c r="P303" t="s">
        <v>29</v>
      </c>
      <c r="Q303">
        <v>0</v>
      </c>
      <c r="R303" s="4">
        <f>IFERROR(Data_Analyst_Intern_Nikhil_Kumar_February2026[[#This Row],[Total]]/Data_Analyst_Intern_Nikhil_Kumar_February2026[[#This Row],[Discount(%)]],0)</f>
        <v>0</v>
      </c>
      <c r="S303" s="2">
        <f>Data_Analyst_Intern_Nikhil_Kumar_February2026[[#This Row],[Total]]-Data_Analyst_Intern_Nikhil_Kumar_February2026[[#This Row],[Discount Amount]]</f>
        <v>2199</v>
      </c>
      <c r="T303" t="s">
        <v>30</v>
      </c>
      <c r="U303" t="s">
        <v>45</v>
      </c>
      <c r="V303" t="s">
        <v>204</v>
      </c>
      <c r="W303" t="s">
        <v>98</v>
      </c>
      <c r="X303" t="s">
        <v>32</v>
      </c>
      <c r="Y303" s="1">
        <v>45667</v>
      </c>
      <c r="Z303" s="3">
        <f>Data_Analyst_Intern_Nikhil_Kumar_February2026[[#This Row],[Del Date]]-Data_Analyst_Intern_Nikhil_Kumar_February2026[[#This Row],[Order Date]]</f>
        <v>21</v>
      </c>
      <c r="AA303" s="3" t="str" cm="1">
        <f t="array" ref="AA303">_xlfn.IFS(Data_Analyst_Intern_Nikhil_Kumar_February2026[[#This Row],[Del Days]]&lt;=7,"Fast",Data_Analyst_Intern_Nikhil_Kumar_February2026[[#This Row],[Del Days]]&lt;=15,"Standard",Data_Analyst_Intern_Nikhil_Kumar_February2026[[#This Row],[Del Days]]&gt;15,"Slow")</f>
        <v>Slow</v>
      </c>
      <c r="AB303" t="s">
        <v>34</v>
      </c>
      <c r="AC303">
        <f>IF(Data_Analyst_Intern_Nikhil_Kumar_February2026[[#This Row],[Status]]="RTO", 1,0)</f>
        <v>0</v>
      </c>
      <c r="AD303">
        <f>IF(Data_Analyst_Intern_Nikhil_Kumar_February2026[[#This Row],[Status]]="Delivered",1,0)</f>
        <v>1</v>
      </c>
      <c r="AE303" t="s">
        <v>35</v>
      </c>
      <c r="AF303">
        <f>IF(AND(Data_Analyst_Intern_Nikhil_Kumar_February2026[[#This Row],[Status]]="Delivered",Data_Analyst_Intern_Nikhil_Kumar_February2026[[#This Row],[Return?]]="Yes"),1,0)</f>
        <v>0</v>
      </c>
      <c r="AG303" t="s">
        <v>29</v>
      </c>
      <c r="AI303" t="s">
        <v>36</v>
      </c>
    </row>
    <row r="304" spans="1:35" x14ac:dyDescent="0.3">
      <c r="A304" t="s">
        <v>1305</v>
      </c>
      <c r="B304" s="1">
        <v>45646</v>
      </c>
      <c r="C304" s="1" t="str">
        <f>TEXT(Data_Analyst_Intern_Nikhil_Kumar_February2026[[#This Row],[Order Date]], "mmmm")</f>
        <v>December</v>
      </c>
      <c r="D304" s="23">
        <f>WEEKNUM(Data_Analyst_Intern_Nikhil_Kumar_February2026[[#This Row],[Order Date]],2)</f>
        <v>51</v>
      </c>
      <c r="E304" s="23" t="str">
        <f>TEXT(Data_Analyst_Intern_Nikhil_Kumar_February2026[[#This Row],[Order Date]],"dddd")</f>
        <v>Friday</v>
      </c>
      <c r="F304" s="1">
        <v>45642</v>
      </c>
      <c r="G304" s="23" t="str">
        <f>TEXT(WEEKDAY(Data_Analyst_Intern_Nikhil_Kumar_February2026[[#This Row],[Order Date]],2), "dddd")</f>
        <v>Thursday</v>
      </c>
      <c r="H304" t="s">
        <v>1306</v>
      </c>
      <c r="I304" t="s">
        <v>25</v>
      </c>
      <c r="J304" t="s">
        <v>1307</v>
      </c>
      <c r="K304" t="s">
        <v>62</v>
      </c>
      <c r="L304" t="s">
        <v>1308</v>
      </c>
      <c r="M304" s="2">
        <v>5199</v>
      </c>
      <c r="N304">
        <v>1</v>
      </c>
      <c r="O304" s="2">
        <v>5199</v>
      </c>
      <c r="P304" t="s">
        <v>29</v>
      </c>
      <c r="Q304">
        <v>0</v>
      </c>
      <c r="R304" s="4">
        <f>IFERROR(Data_Analyst_Intern_Nikhil_Kumar_February2026[[#This Row],[Total]]/Data_Analyst_Intern_Nikhil_Kumar_February2026[[#This Row],[Discount(%)]],0)</f>
        <v>0</v>
      </c>
      <c r="S304" s="2">
        <f>Data_Analyst_Intern_Nikhil_Kumar_February2026[[#This Row],[Total]]-Data_Analyst_Intern_Nikhil_Kumar_February2026[[#This Row],[Discount Amount]]</f>
        <v>5199</v>
      </c>
      <c r="T304" t="s">
        <v>56</v>
      </c>
      <c r="U304" t="s">
        <v>66</v>
      </c>
      <c r="V304" t="s">
        <v>209</v>
      </c>
      <c r="W304" t="s">
        <v>98</v>
      </c>
      <c r="X304" t="s">
        <v>32</v>
      </c>
      <c r="Y304" s="1">
        <v>45668</v>
      </c>
      <c r="Z304" s="3">
        <f>Data_Analyst_Intern_Nikhil_Kumar_February2026[[#This Row],[Del Date]]-Data_Analyst_Intern_Nikhil_Kumar_February2026[[#This Row],[Order Date]]</f>
        <v>22</v>
      </c>
      <c r="AA304" s="3" t="str" cm="1">
        <f t="array" ref="AA304">_xlfn.IFS(Data_Analyst_Intern_Nikhil_Kumar_February2026[[#This Row],[Del Days]]&lt;=7,"Fast",Data_Analyst_Intern_Nikhil_Kumar_February2026[[#This Row],[Del Days]]&lt;=15,"Standard",Data_Analyst_Intern_Nikhil_Kumar_February2026[[#This Row],[Del Days]]&gt;15,"Slow")</f>
        <v>Slow</v>
      </c>
      <c r="AB304" t="s">
        <v>34</v>
      </c>
      <c r="AC304">
        <f>IF(Data_Analyst_Intern_Nikhil_Kumar_February2026[[#This Row],[Status]]="RTO", 1,0)</f>
        <v>0</v>
      </c>
      <c r="AD304">
        <f>IF(Data_Analyst_Intern_Nikhil_Kumar_February2026[[#This Row],[Status]]="Delivered",1,0)</f>
        <v>1</v>
      </c>
      <c r="AE304" t="s">
        <v>47</v>
      </c>
      <c r="AF304">
        <f>IF(AND(Data_Analyst_Intern_Nikhil_Kumar_February2026[[#This Row],[Status]]="Delivered",Data_Analyst_Intern_Nikhil_Kumar_February2026[[#This Row],[Return?]]="Yes"),1,0)</f>
        <v>1</v>
      </c>
      <c r="AG304" t="s">
        <v>105</v>
      </c>
      <c r="AH304" s="1">
        <v>45696</v>
      </c>
      <c r="AI304" t="s">
        <v>49</v>
      </c>
    </row>
    <row r="305" spans="1:35" x14ac:dyDescent="0.3">
      <c r="A305" t="s">
        <v>1309</v>
      </c>
      <c r="B305" s="1">
        <v>45646</v>
      </c>
      <c r="C305" s="1" t="str">
        <f>TEXT(Data_Analyst_Intern_Nikhil_Kumar_February2026[[#This Row],[Order Date]], "mmmm")</f>
        <v>December</v>
      </c>
      <c r="D305" s="23">
        <f>WEEKNUM(Data_Analyst_Intern_Nikhil_Kumar_February2026[[#This Row],[Order Date]],2)</f>
        <v>51</v>
      </c>
      <c r="E305" s="23" t="str">
        <f>TEXT(Data_Analyst_Intern_Nikhil_Kumar_February2026[[#This Row],[Order Date]],"dddd")</f>
        <v>Friday</v>
      </c>
      <c r="F305" s="1">
        <v>45642</v>
      </c>
      <c r="G305" s="23" t="str">
        <f>TEXT(WEEKDAY(Data_Analyst_Intern_Nikhil_Kumar_February2026[[#This Row],[Order Date]],2), "dddd")</f>
        <v>Thursday</v>
      </c>
      <c r="H305" t="s">
        <v>1310</v>
      </c>
      <c r="I305" t="s">
        <v>39</v>
      </c>
      <c r="J305" t="s">
        <v>1311</v>
      </c>
      <c r="K305" t="s">
        <v>72</v>
      </c>
      <c r="L305" t="s">
        <v>1312</v>
      </c>
      <c r="M305" s="2">
        <v>499</v>
      </c>
      <c r="N305">
        <v>2</v>
      </c>
      <c r="O305" s="2">
        <v>998</v>
      </c>
      <c r="P305" t="s">
        <v>995</v>
      </c>
      <c r="Q305">
        <v>20</v>
      </c>
      <c r="R305" s="4">
        <f>IFERROR(Data_Analyst_Intern_Nikhil_Kumar_February2026[[#This Row],[Total]]/Data_Analyst_Intern_Nikhil_Kumar_February2026[[#This Row],[Discount(%)]],0)</f>
        <v>49.9</v>
      </c>
      <c r="S305" s="2">
        <f>Data_Analyst_Intern_Nikhil_Kumar_February2026[[#This Row],[Total]]-Data_Analyst_Intern_Nikhil_Kumar_February2026[[#This Row],[Discount Amount]]</f>
        <v>948.1</v>
      </c>
      <c r="T305" t="s">
        <v>112</v>
      </c>
      <c r="U305" t="s">
        <v>31</v>
      </c>
      <c r="V305" t="s">
        <v>214</v>
      </c>
      <c r="W305" t="s">
        <v>114</v>
      </c>
      <c r="X305" t="s">
        <v>46</v>
      </c>
      <c r="Y305" s="1">
        <v>45667</v>
      </c>
      <c r="Z305" s="3">
        <f>Data_Analyst_Intern_Nikhil_Kumar_February2026[[#This Row],[Del Date]]-Data_Analyst_Intern_Nikhil_Kumar_February2026[[#This Row],[Order Date]]</f>
        <v>21</v>
      </c>
      <c r="AA305" s="3" t="str" cm="1">
        <f t="array" ref="AA305">_xlfn.IFS(Data_Analyst_Intern_Nikhil_Kumar_February2026[[#This Row],[Del Days]]&lt;=7,"Fast",Data_Analyst_Intern_Nikhil_Kumar_February2026[[#This Row],[Del Days]]&lt;=15,"Standard",Data_Analyst_Intern_Nikhil_Kumar_February2026[[#This Row],[Del Days]]&gt;15,"Slow")</f>
        <v>Slow</v>
      </c>
      <c r="AB305" t="s">
        <v>34</v>
      </c>
      <c r="AC305">
        <f>IF(Data_Analyst_Intern_Nikhil_Kumar_February2026[[#This Row],[Status]]="RTO", 1,0)</f>
        <v>0</v>
      </c>
      <c r="AD305">
        <f>IF(Data_Analyst_Intern_Nikhil_Kumar_February2026[[#This Row],[Status]]="Delivered",1,0)</f>
        <v>1</v>
      </c>
      <c r="AE305" t="s">
        <v>35</v>
      </c>
      <c r="AF305">
        <f>IF(AND(Data_Analyst_Intern_Nikhil_Kumar_February2026[[#This Row],[Status]]="Delivered",Data_Analyst_Intern_Nikhil_Kumar_February2026[[#This Row],[Return?]]="Yes"),1,0)</f>
        <v>0</v>
      </c>
      <c r="AG305" t="s">
        <v>29</v>
      </c>
      <c r="AI305" t="s">
        <v>36</v>
      </c>
    </row>
    <row r="306" spans="1:35" x14ac:dyDescent="0.3">
      <c r="A306" t="s">
        <v>1313</v>
      </c>
      <c r="B306" s="1">
        <v>45646</v>
      </c>
      <c r="C306" s="1" t="str">
        <f>TEXT(Data_Analyst_Intern_Nikhil_Kumar_February2026[[#This Row],[Order Date]], "mmmm")</f>
        <v>December</v>
      </c>
      <c r="D306" s="23">
        <f>WEEKNUM(Data_Analyst_Intern_Nikhil_Kumar_February2026[[#This Row],[Order Date]],2)</f>
        <v>51</v>
      </c>
      <c r="E306" s="23" t="str">
        <f>TEXT(Data_Analyst_Intern_Nikhil_Kumar_February2026[[#This Row],[Order Date]],"dddd")</f>
        <v>Friday</v>
      </c>
      <c r="F306" s="1">
        <v>45642</v>
      </c>
      <c r="G306" s="23" t="str">
        <f>TEXT(WEEKDAY(Data_Analyst_Intern_Nikhil_Kumar_February2026[[#This Row],[Order Date]],2), "dddd")</f>
        <v>Thursday</v>
      </c>
      <c r="H306" t="s">
        <v>1314</v>
      </c>
      <c r="I306" t="s">
        <v>25</v>
      </c>
      <c r="J306" t="s">
        <v>1315</v>
      </c>
      <c r="K306" t="s">
        <v>27</v>
      </c>
      <c r="L306" t="s">
        <v>1316</v>
      </c>
      <c r="M306" s="2">
        <v>2099</v>
      </c>
      <c r="N306">
        <v>1</v>
      </c>
      <c r="O306" s="2">
        <v>2099</v>
      </c>
      <c r="P306" t="s">
        <v>29</v>
      </c>
      <c r="Q306">
        <v>0</v>
      </c>
      <c r="R306" s="4">
        <f>IFERROR(Data_Analyst_Intern_Nikhil_Kumar_February2026[[#This Row],[Total]]/Data_Analyst_Intern_Nikhil_Kumar_February2026[[#This Row],[Discount(%)]],0)</f>
        <v>0</v>
      </c>
      <c r="S306" s="2">
        <f>Data_Analyst_Intern_Nikhil_Kumar_February2026[[#This Row],[Total]]-Data_Analyst_Intern_Nikhil_Kumar_February2026[[#This Row],[Discount Amount]]</f>
        <v>2099</v>
      </c>
      <c r="T306" t="s">
        <v>65</v>
      </c>
      <c r="U306" t="s">
        <v>45</v>
      </c>
      <c r="V306" t="s">
        <v>32</v>
      </c>
      <c r="W306" t="s">
        <v>33</v>
      </c>
      <c r="X306" t="s">
        <v>32</v>
      </c>
      <c r="Y306" s="1">
        <v>45668</v>
      </c>
      <c r="Z306" s="3">
        <f>Data_Analyst_Intern_Nikhil_Kumar_February2026[[#This Row],[Del Date]]-Data_Analyst_Intern_Nikhil_Kumar_February2026[[#This Row],[Order Date]]</f>
        <v>22</v>
      </c>
      <c r="AA306" s="3" t="str" cm="1">
        <f t="array" ref="AA306">_xlfn.IFS(Data_Analyst_Intern_Nikhil_Kumar_February2026[[#This Row],[Del Days]]&lt;=7,"Fast",Data_Analyst_Intern_Nikhil_Kumar_February2026[[#This Row],[Del Days]]&lt;=15,"Standard",Data_Analyst_Intern_Nikhil_Kumar_February2026[[#This Row],[Del Days]]&gt;15,"Slow")</f>
        <v>Slow</v>
      </c>
      <c r="AB306" t="s">
        <v>34</v>
      </c>
      <c r="AC306">
        <f>IF(Data_Analyst_Intern_Nikhil_Kumar_February2026[[#This Row],[Status]]="RTO", 1,0)</f>
        <v>0</v>
      </c>
      <c r="AD306">
        <f>IF(Data_Analyst_Intern_Nikhil_Kumar_February2026[[#This Row],[Status]]="Delivered",1,0)</f>
        <v>1</v>
      </c>
      <c r="AE306" t="s">
        <v>47</v>
      </c>
      <c r="AF306">
        <f>IF(AND(Data_Analyst_Intern_Nikhil_Kumar_February2026[[#This Row],[Status]]="Delivered",Data_Analyst_Intern_Nikhil_Kumar_February2026[[#This Row],[Return?]]="Yes"),1,0)</f>
        <v>1</v>
      </c>
      <c r="AG306" t="s">
        <v>139</v>
      </c>
      <c r="AH306" s="1">
        <v>45695</v>
      </c>
      <c r="AI306" t="s">
        <v>49</v>
      </c>
    </row>
    <row r="307" spans="1:35" x14ac:dyDescent="0.3">
      <c r="A307" t="s">
        <v>1317</v>
      </c>
      <c r="B307" s="1">
        <v>45647</v>
      </c>
      <c r="C307" s="1" t="str">
        <f>TEXT(Data_Analyst_Intern_Nikhil_Kumar_February2026[[#This Row],[Order Date]], "mmmm")</f>
        <v>December</v>
      </c>
      <c r="D307" s="23">
        <f>WEEKNUM(Data_Analyst_Intern_Nikhil_Kumar_February2026[[#This Row],[Order Date]],2)</f>
        <v>51</v>
      </c>
      <c r="E307" s="23" t="str">
        <f>TEXT(Data_Analyst_Intern_Nikhil_Kumar_February2026[[#This Row],[Order Date]],"dddd")</f>
        <v>Saturday</v>
      </c>
      <c r="F307" s="1">
        <v>45642</v>
      </c>
      <c r="G307" s="23" t="str">
        <f>TEXT(WEEKDAY(Data_Analyst_Intern_Nikhil_Kumar_February2026[[#This Row],[Order Date]],2), "dddd")</f>
        <v>Friday</v>
      </c>
      <c r="H307" t="s">
        <v>1318</v>
      </c>
      <c r="I307" t="s">
        <v>25</v>
      </c>
      <c r="J307" t="s">
        <v>1319</v>
      </c>
      <c r="K307" t="s">
        <v>41</v>
      </c>
      <c r="L307" t="s">
        <v>1320</v>
      </c>
      <c r="M307" s="2">
        <v>3999</v>
      </c>
      <c r="N307">
        <v>1</v>
      </c>
      <c r="O307" s="2">
        <v>3999</v>
      </c>
      <c r="P307" t="s">
        <v>29</v>
      </c>
      <c r="Q307">
        <v>0</v>
      </c>
      <c r="R307" s="4">
        <f>IFERROR(Data_Analyst_Intern_Nikhil_Kumar_February2026[[#This Row],[Total]]/Data_Analyst_Intern_Nikhil_Kumar_February2026[[#This Row],[Discount(%)]],0)</f>
        <v>0</v>
      </c>
      <c r="S307" s="2">
        <f>Data_Analyst_Intern_Nikhil_Kumar_February2026[[#This Row],[Total]]-Data_Analyst_Intern_Nikhil_Kumar_February2026[[#This Row],[Discount Amount]]</f>
        <v>3999</v>
      </c>
      <c r="T307" t="s">
        <v>44</v>
      </c>
      <c r="U307" t="s">
        <v>66</v>
      </c>
      <c r="V307" t="s">
        <v>46</v>
      </c>
      <c r="W307" t="s">
        <v>46</v>
      </c>
      <c r="X307" t="s">
        <v>46</v>
      </c>
      <c r="Y307" s="1">
        <v>45669</v>
      </c>
      <c r="Z307" s="3">
        <f>Data_Analyst_Intern_Nikhil_Kumar_February2026[[#This Row],[Del Date]]-Data_Analyst_Intern_Nikhil_Kumar_February2026[[#This Row],[Order Date]]</f>
        <v>22</v>
      </c>
      <c r="AA307" s="3" t="str" cm="1">
        <f t="array" ref="AA307">_xlfn.IFS(Data_Analyst_Intern_Nikhil_Kumar_February2026[[#This Row],[Del Days]]&lt;=7,"Fast",Data_Analyst_Intern_Nikhil_Kumar_February2026[[#This Row],[Del Days]]&lt;=15,"Standard",Data_Analyst_Intern_Nikhil_Kumar_February2026[[#This Row],[Del Days]]&gt;15,"Slow")</f>
        <v>Slow</v>
      </c>
      <c r="AB307" t="s">
        <v>34</v>
      </c>
      <c r="AC307">
        <f>IF(Data_Analyst_Intern_Nikhil_Kumar_February2026[[#This Row],[Status]]="RTO", 1,0)</f>
        <v>0</v>
      </c>
      <c r="AD307">
        <f>IF(Data_Analyst_Intern_Nikhil_Kumar_February2026[[#This Row],[Status]]="Delivered",1,0)</f>
        <v>1</v>
      </c>
      <c r="AE307" t="s">
        <v>47</v>
      </c>
      <c r="AF307">
        <f>IF(AND(Data_Analyst_Intern_Nikhil_Kumar_February2026[[#This Row],[Status]]="Delivered",Data_Analyst_Intern_Nikhil_Kumar_February2026[[#This Row],[Return?]]="Yes"),1,0)</f>
        <v>1</v>
      </c>
      <c r="AG307" t="s">
        <v>48</v>
      </c>
      <c r="AH307" s="1">
        <v>45697</v>
      </c>
      <c r="AI307" t="s">
        <v>49</v>
      </c>
    </row>
    <row r="308" spans="1:35" x14ac:dyDescent="0.3">
      <c r="A308" t="s">
        <v>1321</v>
      </c>
      <c r="B308" s="1">
        <v>45647</v>
      </c>
      <c r="C308" s="1" t="str">
        <f>TEXT(Data_Analyst_Intern_Nikhil_Kumar_February2026[[#This Row],[Order Date]], "mmmm")</f>
        <v>December</v>
      </c>
      <c r="D308" s="23">
        <f>WEEKNUM(Data_Analyst_Intern_Nikhil_Kumar_February2026[[#This Row],[Order Date]],2)</f>
        <v>51</v>
      </c>
      <c r="E308" s="23" t="str">
        <f>TEXT(Data_Analyst_Intern_Nikhil_Kumar_February2026[[#This Row],[Order Date]],"dddd")</f>
        <v>Saturday</v>
      </c>
      <c r="F308" s="1">
        <v>45642</v>
      </c>
      <c r="G308" s="23" t="str">
        <f>TEXT(WEEKDAY(Data_Analyst_Intern_Nikhil_Kumar_February2026[[#This Row],[Order Date]],2), "dddd")</f>
        <v>Friday</v>
      </c>
      <c r="H308" t="s">
        <v>1322</v>
      </c>
      <c r="I308" t="s">
        <v>25</v>
      </c>
      <c r="J308" t="s">
        <v>1323</v>
      </c>
      <c r="K308" t="s">
        <v>54</v>
      </c>
      <c r="L308" t="s">
        <v>1324</v>
      </c>
      <c r="M308" s="2">
        <v>2399</v>
      </c>
      <c r="N308">
        <v>1</v>
      </c>
      <c r="O308" s="2">
        <v>2399</v>
      </c>
      <c r="P308" t="s">
        <v>995</v>
      </c>
      <c r="Q308">
        <v>20</v>
      </c>
      <c r="R308" s="4">
        <f>IFERROR(Data_Analyst_Intern_Nikhil_Kumar_February2026[[#This Row],[Total]]/Data_Analyst_Intern_Nikhil_Kumar_February2026[[#This Row],[Discount(%)]],0)</f>
        <v>119.95</v>
      </c>
      <c r="S308" s="2">
        <f>Data_Analyst_Intern_Nikhil_Kumar_February2026[[#This Row],[Total]]-Data_Analyst_Intern_Nikhil_Kumar_February2026[[#This Row],[Discount Amount]]</f>
        <v>2279.0500000000002</v>
      </c>
      <c r="T308" t="s">
        <v>30</v>
      </c>
      <c r="U308" t="s">
        <v>31</v>
      </c>
      <c r="V308" t="s">
        <v>91</v>
      </c>
      <c r="W308" t="s">
        <v>92</v>
      </c>
      <c r="X308" t="s">
        <v>46</v>
      </c>
      <c r="Y308" s="1">
        <v>45669</v>
      </c>
      <c r="Z308" s="3">
        <f>Data_Analyst_Intern_Nikhil_Kumar_February2026[[#This Row],[Del Date]]-Data_Analyst_Intern_Nikhil_Kumar_February2026[[#This Row],[Order Date]]</f>
        <v>22</v>
      </c>
      <c r="AA308" s="3" t="str" cm="1">
        <f t="array" ref="AA308">_xlfn.IFS(Data_Analyst_Intern_Nikhil_Kumar_February2026[[#This Row],[Del Days]]&lt;=7,"Fast",Data_Analyst_Intern_Nikhil_Kumar_February2026[[#This Row],[Del Days]]&lt;=15,"Standard",Data_Analyst_Intern_Nikhil_Kumar_February2026[[#This Row],[Del Days]]&gt;15,"Slow")</f>
        <v>Slow</v>
      </c>
      <c r="AB308" t="s">
        <v>34</v>
      </c>
      <c r="AC308">
        <f>IF(Data_Analyst_Intern_Nikhil_Kumar_February2026[[#This Row],[Status]]="RTO", 1,0)</f>
        <v>0</v>
      </c>
      <c r="AD308">
        <f>IF(Data_Analyst_Intern_Nikhil_Kumar_February2026[[#This Row],[Status]]="Delivered",1,0)</f>
        <v>1</v>
      </c>
      <c r="AE308" t="s">
        <v>35</v>
      </c>
      <c r="AF308">
        <f>IF(AND(Data_Analyst_Intern_Nikhil_Kumar_February2026[[#This Row],[Status]]="Delivered",Data_Analyst_Intern_Nikhil_Kumar_February2026[[#This Row],[Return?]]="Yes"),1,0)</f>
        <v>0</v>
      </c>
      <c r="AG308" t="s">
        <v>29</v>
      </c>
      <c r="AI308" t="s">
        <v>36</v>
      </c>
    </row>
    <row r="309" spans="1:35" x14ac:dyDescent="0.3">
      <c r="A309" t="s">
        <v>1325</v>
      </c>
      <c r="B309" s="1">
        <v>45647</v>
      </c>
      <c r="C309" s="1" t="str">
        <f>TEXT(Data_Analyst_Intern_Nikhil_Kumar_February2026[[#This Row],[Order Date]], "mmmm")</f>
        <v>December</v>
      </c>
      <c r="D309" s="23">
        <f>WEEKNUM(Data_Analyst_Intern_Nikhil_Kumar_February2026[[#This Row],[Order Date]],2)</f>
        <v>51</v>
      </c>
      <c r="E309" s="23" t="str">
        <f>TEXT(Data_Analyst_Intern_Nikhil_Kumar_February2026[[#This Row],[Order Date]],"dddd")</f>
        <v>Saturday</v>
      </c>
      <c r="F309" s="1">
        <v>45642</v>
      </c>
      <c r="G309" s="23" t="str">
        <f>TEXT(WEEKDAY(Data_Analyst_Intern_Nikhil_Kumar_February2026[[#This Row],[Order Date]],2), "dddd")</f>
        <v>Friday</v>
      </c>
      <c r="H309" t="s">
        <v>1326</v>
      </c>
      <c r="I309" t="s">
        <v>25</v>
      </c>
      <c r="J309" t="s">
        <v>1327</v>
      </c>
      <c r="K309" t="s">
        <v>62</v>
      </c>
      <c r="L309" t="s">
        <v>1328</v>
      </c>
      <c r="M309" s="2">
        <v>7299</v>
      </c>
      <c r="N309">
        <v>1</v>
      </c>
      <c r="O309" s="2">
        <v>7299</v>
      </c>
      <c r="P309" t="s">
        <v>29</v>
      </c>
      <c r="Q309">
        <v>0</v>
      </c>
      <c r="R309" s="4">
        <f>IFERROR(Data_Analyst_Intern_Nikhil_Kumar_February2026[[#This Row],[Total]]/Data_Analyst_Intern_Nikhil_Kumar_February2026[[#This Row],[Discount(%)]],0)</f>
        <v>0</v>
      </c>
      <c r="S309" s="2">
        <f>Data_Analyst_Intern_Nikhil_Kumar_February2026[[#This Row],[Total]]-Data_Analyst_Intern_Nikhil_Kumar_February2026[[#This Row],[Discount Amount]]</f>
        <v>7299</v>
      </c>
      <c r="T309" t="s">
        <v>56</v>
      </c>
      <c r="U309" t="s">
        <v>45</v>
      </c>
      <c r="V309" t="s">
        <v>67</v>
      </c>
      <c r="W309" t="s">
        <v>68</v>
      </c>
      <c r="X309" t="s">
        <v>57</v>
      </c>
      <c r="Y309" s="1">
        <v>45670</v>
      </c>
      <c r="Z309" s="3">
        <f>Data_Analyst_Intern_Nikhil_Kumar_February2026[[#This Row],[Del Date]]-Data_Analyst_Intern_Nikhil_Kumar_February2026[[#This Row],[Order Date]]</f>
        <v>23</v>
      </c>
      <c r="AA309" s="3" t="str" cm="1">
        <f t="array" ref="AA309">_xlfn.IFS(Data_Analyst_Intern_Nikhil_Kumar_February2026[[#This Row],[Del Days]]&lt;=7,"Fast",Data_Analyst_Intern_Nikhil_Kumar_February2026[[#This Row],[Del Days]]&lt;=15,"Standard",Data_Analyst_Intern_Nikhil_Kumar_February2026[[#This Row],[Del Days]]&gt;15,"Slow")</f>
        <v>Slow</v>
      </c>
      <c r="AB309" t="s">
        <v>34</v>
      </c>
      <c r="AC309">
        <f>IF(Data_Analyst_Intern_Nikhil_Kumar_February2026[[#This Row],[Status]]="RTO", 1,0)</f>
        <v>0</v>
      </c>
      <c r="AD309">
        <f>IF(Data_Analyst_Intern_Nikhil_Kumar_February2026[[#This Row],[Status]]="Delivered",1,0)</f>
        <v>1</v>
      </c>
      <c r="AE309" t="s">
        <v>47</v>
      </c>
      <c r="AF309">
        <f>IF(AND(Data_Analyst_Intern_Nikhil_Kumar_February2026[[#This Row],[Status]]="Delivered",Data_Analyst_Intern_Nikhil_Kumar_February2026[[#This Row],[Return?]]="Yes"),1,0)</f>
        <v>1</v>
      </c>
      <c r="AG309" t="s">
        <v>80</v>
      </c>
      <c r="AH309" s="1">
        <v>45698</v>
      </c>
      <c r="AI309" t="s">
        <v>49</v>
      </c>
    </row>
    <row r="310" spans="1:35" x14ac:dyDescent="0.3">
      <c r="A310" t="s">
        <v>1329</v>
      </c>
      <c r="B310" s="1">
        <v>45647</v>
      </c>
      <c r="C310" s="1" t="str">
        <f>TEXT(Data_Analyst_Intern_Nikhil_Kumar_February2026[[#This Row],[Order Date]], "mmmm")</f>
        <v>December</v>
      </c>
      <c r="D310" s="23">
        <f>WEEKNUM(Data_Analyst_Intern_Nikhil_Kumar_February2026[[#This Row],[Order Date]],2)</f>
        <v>51</v>
      </c>
      <c r="E310" s="23" t="str">
        <f>TEXT(Data_Analyst_Intern_Nikhil_Kumar_February2026[[#This Row],[Order Date]],"dddd")</f>
        <v>Saturday</v>
      </c>
      <c r="F310" s="1">
        <v>45642</v>
      </c>
      <c r="G310" s="23" t="str">
        <f>TEXT(WEEKDAY(Data_Analyst_Intern_Nikhil_Kumar_February2026[[#This Row],[Order Date]],2), "dddd")</f>
        <v>Friday</v>
      </c>
      <c r="H310" t="s">
        <v>1330</v>
      </c>
      <c r="I310" t="s">
        <v>39</v>
      </c>
      <c r="J310" t="s">
        <v>1331</v>
      </c>
      <c r="K310" t="s">
        <v>72</v>
      </c>
      <c r="L310" t="s">
        <v>1332</v>
      </c>
      <c r="M310" s="2">
        <v>899</v>
      </c>
      <c r="N310">
        <v>1</v>
      </c>
      <c r="O310" s="2">
        <v>899</v>
      </c>
      <c r="P310" t="s">
        <v>29</v>
      </c>
      <c r="Q310">
        <v>0</v>
      </c>
      <c r="R310" s="4">
        <f>IFERROR(Data_Analyst_Intern_Nikhil_Kumar_February2026[[#This Row],[Total]]/Data_Analyst_Intern_Nikhil_Kumar_February2026[[#This Row],[Discount(%)]],0)</f>
        <v>0</v>
      </c>
      <c r="S310" s="2">
        <f>Data_Analyst_Intern_Nikhil_Kumar_February2026[[#This Row],[Total]]-Data_Analyst_Intern_Nikhil_Kumar_February2026[[#This Row],[Discount Amount]]</f>
        <v>899</v>
      </c>
      <c r="T310" t="s">
        <v>112</v>
      </c>
      <c r="U310" t="s">
        <v>66</v>
      </c>
      <c r="V310" t="s">
        <v>78</v>
      </c>
      <c r="W310" t="s">
        <v>79</v>
      </c>
      <c r="X310" t="s">
        <v>57</v>
      </c>
      <c r="Y310" s="1">
        <v>45669</v>
      </c>
      <c r="Z310" s="3">
        <f>Data_Analyst_Intern_Nikhil_Kumar_February2026[[#This Row],[Del Date]]-Data_Analyst_Intern_Nikhil_Kumar_February2026[[#This Row],[Order Date]]</f>
        <v>22</v>
      </c>
      <c r="AA310" s="3" t="str" cm="1">
        <f t="array" ref="AA310">_xlfn.IFS(Data_Analyst_Intern_Nikhil_Kumar_February2026[[#This Row],[Del Days]]&lt;=7,"Fast",Data_Analyst_Intern_Nikhil_Kumar_February2026[[#This Row],[Del Days]]&lt;=15,"Standard",Data_Analyst_Intern_Nikhil_Kumar_February2026[[#This Row],[Del Days]]&gt;15,"Slow")</f>
        <v>Slow</v>
      </c>
      <c r="AB310" t="s">
        <v>34</v>
      </c>
      <c r="AC310">
        <f>IF(Data_Analyst_Intern_Nikhil_Kumar_February2026[[#This Row],[Status]]="RTO", 1,0)</f>
        <v>0</v>
      </c>
      <c r="AD310">
        <f>IF(Data_Analyst_Intern_Nikhil_Kumar_February2026[[#This Row],[Status]]="Delivered",1,0)</f>
        <v>1</v>
      </c>
      <c r="AE310" t="s">
        <v>47</v>
      </c>
      <c r="AF310">
        <f>IF(AND(Data_Analyst_Intern_Nikhil_Kumar_February2026[[#This Row],[Status]]="Delivered",Data_Analyst_Intern_Nikhil_Kumar_February2026[[#This Row],[Return?]]="Yes"),1,0)</f>
        <v>1</v>
      </c>
      <c r="AG310" t="s">
        <v>69</v>
      </c>
      <c r="AH310" s="1">
        <v>45696</v>
      </c>
      <c r="AI310" t="s">
        <v>49</v>
      </c>
    </row>
    <row r="311" spans="1:35" x14ac:dyDescent="0.3">
      <c r="A311" t="s">
        <v>1333</v>
      </c>
      <c r="B311" s="1">
        <v>45648</v>
      </c>
      <c r="C311" s="1" t="str">
        <f>TEXT(Data_Analyst_Intern_Nikhil_Kumar_February2026[[#This Row],[Order Date]], "mmmm")</f>
        <v>December</v>
      </c>
      <c r="D311" s="23">
        <f>WEEKNUM(Data_Analyst_Intern_Nikhil_Kumar_February2026[[#This Row],[Order Date]],2)</f>
        <v>51</v>
      </c>
      <c r="E311" s="23" t="str">
        <f>TEXT(Data_Analyst_Intern_Nikhil_Kumar_February2026[[#This Row],[Order Date]],"dddd")</f>
        <v>Sunday</v>
      </c>
      <c r="F311" s="1">
        <v>45642</v>
      </c>
      <c r="G311" s="23" t="str">
        <f>TEXT(WEEKDAY(Data_Analyst_Intern_Nikhil_Kumar_February2026[[#This Row],[Order Date]],2), "dddd")</f>
        <v>Saturday</v>
      </c>
      <c r="H311" t="s">
        <v>1334</v>
      </c>
      <c r="I311" t="s">
        <v>25</v>
      </c>
      <c r="J311" t="s">
        <v>1335</v>
      </c>
      <c r="K311" t="s">
        <v>27</v>
      </c>
      <c r="L311" t="s">
        <v>1336</v>
      </c>
      <c r="M311" s="2">
        <v>1999</v>
      </c>
      <c r="N311">
        <v>1</v>
      </c>
      <c r="O311" s="2">
        <v>1999</v>
      </c>
      <c r="P311" t="s">
        <v>995</v>
      </c>
      <c r="Q311">
        <v>20</v>
      </c>
      <c r="R311" s="4">
        <f>IFERROR(Data_Analyst_Intern_Nikhil_Kumar_February2026[[#This Row],[Total]]/Data_Analyst_Intern_Nikhil_Kumar_February2026[[#This Row],[Discount(%)]],0)</f>
        <v>99.95</v>
      </c>
      <c r="S311" s="2">
        <f>Data_Analyst_Intern_Nikhil_Kumar_February2026[[#This Row],[Total]]-Data_Analyst_Intern_Nikhil_Kumar_February2026[[#This Row],[Discount Amount]]</f>
        <v>1899.05</v>
      </c>
      <c r="T311" t="s">
        <v>65</v>
      </c>
      <c r="U311" t="s">
        <v>31</v>
      </c>
      <c r="V311" t="s">
        <v>85</v>
      </c>
      <c r="W311" t="s">
        <v>33</v>
      </c>
      <c r="X311" t="s">
        <v>32</v>
      </c>
      <c r="Y311" s="1">
        <v>45670</v>
      </c>
      <c r="Z311" s="3">
        <f>Data_Analyst_Intern_Nikhil_Kumar_February2026[[#This Row],[Del Date]]-Data_Analyst_Intern_Nikhil_Kumar_February2026[[#This Row],[Order Date]]</f>
        <v>22</v>
      </c>
      <c r="AA311" s="3" t="str" cm="1">
        <f t="array" ref="AA311">_xlfn.IFS(Data_Analyst_Intern_Nikhil_Kumar_February2026[[#This Row],[Del Days]]&lt;=7,"Fast",Data_Analyst_Intern_Nikhil_Kumar_February2026[[#This Row],[Del Days]]&lt;=15,"Standard",Data_Analyst_Intern_Nikhil_Kumar_February2026[[#This Row],[Del Days]]&gt;15,"Slow")</f>
        <v>Slow</v>
      </c>
      <c r="AB311" t="s">
        <v>34</v>
      </c>
      <c r="AC311">
        <f>IF(Data_Analyst_Intern_Nikhil_Kumar_February2026[[#This Row],[Status]]="RTO", 1,0)</f>
        <v>0</v>
      </c>
      <c r="AD311">
        <f>IF(Data_Analyst_Intern_Nikhil_Kumar_February2026[[#This Row],[Status]]="Delivered",1,0)</f>
        <v>1</v>
      </c>
      <c r="AE311" t="s">
        <v>35</v>
      </c>
      <c r="AF311">
        <f>IF(AND(Data_Analyst_Intern_Nikhil_Kumar_February2026[[#This Row],[Status]]="Delivered",Data_Analyst_Intern_Nikhil_Kumar_February2026[[#This Row],[Return?]]="Yes"),1,0)</f>
        <v>0</v>
      </c>
      <c r="AG311" t="s">
        <v>29</v>
      </c>
      <c r="AI311" t="s">
        <v>36</v>
      </c>
    </row>
    <row r="312" spans="1:35" x14ac:dyDescent="0.3">
      <c r="A312" t="s">
        <v>1337</v>
      </c>
      <c r="B312" s="1">
        <v>45648</v>
      </c>
      <c r="C312" s="1" t="str">
        <f>TEXT(Data_Analyst_Intern_Nikhil_Kumar_February2026[[#This Row],[Order Date]], "mmmm")</f>
        <v>December</v>
      </c>
      <c r="D312" s="23">
        <f>WEEKNUM(Data_Analyst_Intern_Nikhil_Kumar_February2026[[#This Row],[Order Date]],2)</f>
        <v>51</v>
      </c>
      <c r="E312" s="23" t="str">
        <f>TEXT(Data_Analyst_Intern_Nikhil_Kumar_February2026[[#This Row],[Order Date]],"dddd")</f>
        <v>Sunday</v>
      </c>
      <c r="F312" s="1">
        <v>45642</v>
      </c>
      <c r="G312" s="23" t="str">
        <f>TEXT(WEEKDAY(Data_Analyst_Intern_Nikhil_Kumar_February2026[[#This Row],[Order Date]],2), "dddd")</f>
        <v>Saturday</v>
      </c>
      <c r="H312" t="s">
        <v>1338</v>
      </c>
      <c r="I312" t="s">
        <v>25</v>
      </c>
      <c r="J312" t="s">
        <v>1339</v>
      </c>
      <c r="K312" t="s">
        <v>41</v>
      </c>
      <c r="L312" t="s">
        <v>1340</v>
      </c>
      <c r="M312" s="2">
        <v>4699</v>
      </c>
      <c r="N312">
        <v>1</v>
      </c>
      <c r="O312" s="2">
        <v>4699</v>
      </c>
      <c r="P312" t="s">
        <v>29</v>
      </c>
      <c r="Q312">
        <v>0</v>
      </c>
      <c r="R312" s="4">
        <f>IFERROR(Data_Analyst_Intern_Nikhil_Kumar_February2026[[#This Row],[Total]]/Data_Analyst_Intern_Nikhil_Kumar_February2026[[#This Row],[Discount(%)]],0)</f>
        <v>0</v>
      </c>
      <c r="S312" s="2">
        <f>Data_Analyst_Intern_Nikhil_Kumar_February2026[[#This Row],[Total]]-Data_Analyst_Intern_Nikhil_Kumar_February2026[[#This Row],[Discount Amount]]</f>
        <v>4699</v>
      </c>
      <c r="T312" t="s">
        <v>44</v>
      </c>
      <c r="U312" t="s">
        <v>45</v>
      </c>
      <c r="V312" t="s">
        <v>97</v>
      </c>
      <c r="W312" t="s">
        <v>98</v>
      </c>
      <c r="X312" t="s">
        <v>32</v>
      </c>
      <c r="Y312" s="1">
        <v>45671</v>
      </c>
      <c r="Z312" s="3">
        <f>Data_Analyst_Intern_Nikhil_Kumar_February2026[[#This Row],[Del Date]]-Data_Analyst_Intern_Nikhil_Kumar_February2026[[#This Row],[Order Date]]</f>
        <v>23</v>
      </c>
      <c r="AA312" s="3" t="str" cm="1">
        <f t="array" ref="AA312">_xlfn.IFS(Data_Analyst_Intern_Nikhil_Kumar_February2026[[#This Row],[Del Days]]&lt;=7,"Fast",Data_Analyst_Intern_Nikhil_Kumar_February2026[[#This Row],[Del Days]]&lt;=15,"Standard",Data_Analyst_Intern_Nikhil_Kumar_February2026[[#This Row],[Del Days]]&gt;15,"Slow")</f>
        <v>Slow</v>
      </c>
      <c r="AB312" t="s">
        <v>34</v>
      </c>
      <c r="AC312">
        <f>IF(Data_Analyst_Intern_Nikhil_Kumar_February2026[[#This Row],[Status]]="RTO", 1,0)</f>
        <v>0</v>
      </c>
      <c r="AD312">
        <f>IF(Data_Analyst_Intern_Nikhil_Kumar_February2026[[#This Row],[Status]]="Delivered",1,0)</f>
        <v>1</v>
      </c>
      <c r="AE312" t="s">
        <v>47</v>
      </c>
      <c r="AF312">
        <f>IF(AND(Data_Analyst_Intern_Nikhil_Kumar_February2026[[#This Row],[Status]]="Delivered",Data_Analyst_Intern_Nikhil_Kumar_February2026[[#This Row],[Return?]]="Yes"),1,0)</f>
        <v>1</v>
      </c>
      <c r="AG312" t="s">
        <v>48</v>
      </c>
      <c r="AH312" s="1">
        <v>45699</v>
      </c>
      <c r="AI312" t="s">
        <v>49</v>
      </c>
    </row>
    <row r="313" spans="1:35" x14ac:dyDescent="0.3">
      <c r="A313" t="s">
        <v>1341</v>
      </c>
      <c r="B313" s="1">
        <v>45648</v>
      </c>
      <c r="C313" s="1" t="str">
        <f>TEXT(Data_Analyst_Intern_Nikhil_Kumar_February2026[[#This Row],[Order Date]], "mmmm")</f>
        <v>December</v>
      </c>
      <c r="D313" s="23">
        <f>WEEKNUM(Data_Analyst_Intern_Nikhil_Kumar_February2026[[#This Row],[Order Date]],2)</f>
        <v>51</v>
      </c>
      <c r="E313" s="23" t="str">
        <f>TEXT(Data_Analyst_Intern_Nikhil_Kumar_February2026[[#This Row],[Order Date]],"dddd")</f>
        <v>Sunday</v>
      </c>
      <c r="F313" s="1">
        <v>45642</v>
      </c>
      <c r="G313" s="23" t="str">
        <f>TEXT(WEEKDAY(Data_Analyst_Intern_Nikhil_Kumar_February2026[[#This Row],[Order Date]],2), "dddd")</f>
        <v>Saturday</v>
      </c>
      <c r="H313" t="s">
        <v>1342</v>
      </c>
      <c r="I313" t="s">
        <v>25</v>
      </c>
      <c r="J313" t="s">
        <v>1343</v>
      </c>
      <c r="K313" t="s">
        <v>54</v>
      </c>
      <c r="L313" t="s">
        <v>1344</v>
      </c>
      <c r="M313" s="2">
        <v>2299</v>
      </c>
      <c r="N313">
        <v>1</v>
      </c>
      <c r="O313" s="2">
        <v>2299</v>
      </c>
      <c r="P313" t="s">
        <v>29</v>
      </c>
      <c r="Q313">
        <v>0</v>
      </c>
      <c r="R313" s="4">
        <f>IFERROR(Data_Analyst_Intern_Nikhil_Kumar_February2026[[#This Row],[Total]]/Data_Analyst_Intern_Nikhil_Kumar_February2026[[#This Row],[Discount(%)]],0)</f>
        <v>0</v>
      </c>
      <c r="S313" s="2">
        <f>Data_Analyst_Intern_Nikhil_Kumar_February2026[[#This Row],[Total]]-Data_Analyst_Intern_Nikhil_Kumar_February2026[[#This Row],[Discount Amount]]</f>
        <v>2299</v>
      </c>
      <c r="T313" t="s">
        <v>30</v>
      </c>
      <c r="U313" t="s">
        <v>66</v>
      </c>
      <c r="V313" t="s">
        <v>103</v>
      </c>
      <c r="W313" t="s">
        <v>104</v>
      </c>
      <c r="X313" t="s">
        <v>46</v>
      </c>
      <c r="Y313" s="1">
        <v>45671</v>
      </c>
      <c r="Z313" s="3">
        <f>Data_Analyst_Intern_Nikhil_Kumar_February2026[[#This Row],[Del Date]]-Data_Analyst_Intern_Nikhil_Kumar_February2026[[#This Row],[Order Date]]</f>
        <v>23</v>
      </c>
      <c r="AA313" s="3" t="str" cm="1">
        <f t="array" ref="AA313">_xlfn.IFS(Data_Analyst_Intern_Nikhil_Kumar_February2026[[#This Row],[Del Days]]&lt;=7,"Fast",Data_Analyst_Intern_Nikhil_Kumar_February2026[[#This Row],[Del Days]]&lt;=15,"Standard",Data_Analyst_Intern_Nikhil_Kumar_February2026[[#This Row],[Del Days]]&gt;15,"Slow")</f>
        <v>Slow</v>
      </c>
      <c r="AB313" t="s">
        <v>34</v>
      </c>
      <c r="AC313">
        <f>IF(Data_Analyst_Intern_Nikhil_Kumar_February2026[[#This Row],[Status]]="RTO", 1,0)</f>
        <v>0</v>
      </c>
      <c r="AD313">
        <f>IF(Data_Analyst_Intern_Nikhil_Kumar_February2026[[#This Row],[Status]]="Delivered",1,0)</f>
        <v>1</v>
      </c>
      <c r="AE313" t="s">
        <v>35</v>
      </c>
      <c r="AF313">
        <f>IF(AND(Data_Analyst_Intern_Nikhil_Kumar_February2026[[#This Row],[Status]]="Delivered",Data_Analyst_Intern_Nikhil_Kumar_February2026[[#This Row],[Return?]]="Yes"),1,0)</f>
        <v>0</v>
      </c>
      <c r="AG313" t="s">
        <v>29</v>
      </c>
      <c r="AI313" t="s">
        <v>36</v>
      </c>
    </row>
    <row r="314" spans="1:35" x14ac:dyDescent="0.3">
      <c r="A314" t="s">
        <v>1345</v>
      </c>
      <c r="B314" s="1">
        <v>45648</v>
      </c>
      <c r="C314" s="1" t="str">
        <f>TEXT(Data_Analyst_Intern_Nikhil_Kumar_February2026[[#This Row],[Order Date]], "mmmm")</f>
        <v>December</v>
      </c>
      <c r="D314" s="23">
        <f>WEEKNUM(Data_Analyst_Intern_Nikhil_Kumar_February2026[[#This Row],[Order Date]],2)</f>
        <v>51</v>
      </c>
      <c r="E314" s="23" t="str">
        <f>TEXT(Data_Analyst_Intern_Nikhil_Kumar_February2026[[#This Row],[Order Date]],"dddd")</f>
        <v>Sunday</v>
      </c>
      <c r="F314" s="1">
        <v>45642</v>
      </c>
      <c r="G314" s="23" t="str">
        <f>TEXT(WEEKDAY(Data_Analyst_Intern_Nikhil_Kumar_February2026[[#This Row],[Order Date]],2), "dddd")</f>
        <v>Saturday</v>
      </c>
      <c r="H314" t="s">
        <v>1346</v>
      </c>
      <c r="I314" t="s">
        <v>25</v>
      </c>
      <c r="J314" t="s">
        <v>1347</v>
      </c>
      <c r="K314" t="s">
        <v>62</v>
      </c>
      <c r="L314" t="s">
        <v>1348</v>
      </c>
      <c r="M314" s="2">
        <v>5399</v>
      </c>
      <c r="N314">
        <v>1</v>
      </c>
      <c r="O314" s="2">
        <v>5399</v>
      </c>
      <c r="P314" t="s">
        <v>995</v>
      </c>
      <c r="Q314">
        <v>20</v>
      </c>
      <c r="R314" s="4">
        <f>IFERROR(Data_Analyst_Intern_Nikhil_Kumar_February2026[[#This Row],[Total]]/Data_Analyst_Intern_Nikhil_Kumar_February2026[[#This Row],[Discount(%)]],0)</f>
        <v>269.95</v>
      </c>
      <c r="S314" s="2">
        <f>Data_Analyst_Intern_Nikhil_Kumar_February2026[[#This Row],[Total]]-Data_Analyst_Intern_Nikhil_Kumar_February2026[[#This Row],[Discount Amount]]</f>
        <v>5129.05</v>
      </c>
      <c r="T314" t="s">
        <v>56</v>
      </c>
      <c r="U314" t="s">
        <v>31</v>
      </c>
      <c r="V314" t="s">
        <v>113</v>
      </c>
      <c r="W314" t="s">
        <v>114</v>
      </c>
      <c r="X314" t="s">
        <v>46</v>
      </c>
      <c r="Y314" s="1">
        <v>45672</v>
      </c>
      <c r="Z314" s="3">
        <f>Data_Analyst_Intern_Nikhil_Kumar_February2026[[#This Row],[Del Date]]-Data_Analyst_Intern_Nikhil_Kumar_February2026[[#This Row],[Order Date]]</f>
        <v>24</v>
      </c>
      <c r="AA314" s="3" t="str" cm="1">
        <f t="array" ref="AA314">_xlfn.IFS(Data_Analyst_Intern_Nikhil_Kumar_February2026[[#This Row],[Del Days]]&lt;=7,"Fast",Data_Analyst_Intern_Nikhil_Kumar_February2026[[#This Row],[Del Days]]&lt;=15,"Standard",Data_Analyst_Intern_Nikhil_Kumar_February2026[[#This Row],[Del Days]]&gt;15,"Slow")</f>
        <v>Slow</v>
      </c>
      <c r="AB314" t="s">
        <v>34</v>
      </c>
      <c r="AC314">
        <f>IF(Data_Analyst_Intern_Nikhil_Kumar_February2026[[#This Row],[Status]]="RTO", 1,0)</f>
        <v>0</v>
      </c>
      <c r="AD314">
        <f>IF(Data_Analyst_Intern_Nikhil_Kumar_February2026[[#This Row],[Status]]="Delivered",1,0)</f>
        <v>1</v>
      </c>
      <c r="AE314" t="s">
        <v>47</v>
      </c>
      <c r="AF314">
        <f>IF(AND(Data_Analyst_Intern_Nikhil_Kumar_February2026[[#This Row],[Status]]="Delivered",Data_Analyst_Intern_Nikhil_Kumar_February2026[[#This Row],[Return?]]="Yes"),1,0)</f>
        <v>1</v>
      </c>
      <c r="AG314" t="s">
        <v>105</v>
      </c>
      <c r="AH314" s="1">
        <v>45700</v>
      </c>
      <c r="AI314" t="s">
        <v>49</v>
      </c>
    </row>
    <row r="315" spans="1:35" x14ac:dyDescent="0.3">
      <c r="A315" t="s">
        <v>1349</v>
      </c>
      <c r="B315" s="1">
        <v>45649</v>
      </c>
      <c r="C315" s="1" t="str">
        <f>TEXT(Data_Analyst_Intern_Nikhil_Kumar_February2026[[#This Row],[Order Date]], "mmmm")</f>
        <v>December</v>
      </c>
      <c r="D315" s="23">
        <f>WEEKNUM(Data_Analyst_Intern_Nikhil_Kumar_February2026[[#This Row],[Order Date]],2)</f>
        <v>52</v>
      </c>
      <c r="E315" s="23" t="str">
        <f>TEXT(Data_Analyst_Intern_Nikhil_Kumar_February2026[[#This Row],[Order Date]],"dddd")</f>
        <v>Monday</v>
      </c>
      <c r="F315" s="1">
        <v>45649</v>
      </c>
      <c r="G315" s="23" t="str">
        <f>TEXT(WEEKDAY(Data_Analyst_Intern_Nikhil_Kumar_February2026[[#This Row],[Order Date]],2), "dddd")</f>
        <v>Sunday</v>
      </c>
      <c r="H315" t="s">
        <v>1350</v>
      </c>
      <c r="I315" t="s">
        <v>39</v>
      </c>
      <c r="J315" t="s">
        <v>1351</v>
      </c>
      <c r="K315" t="s">
        <v>72</v>
      </c>
      <c r="L315" t="s">
        <v>1352</v>
      </c>
      <c r="M315" s="2">
        <v>1199</v>
      </c>
      <c r="N315">
        <v>1</v>
      </c>
      <c r="O315" s="2">
        <v>1199</v>
      </c>
      <c r="P315" t="s">
        <v>29</v>
      </c>
      <c r="Q315">
        <v>0</v>
      </c>
      <c r="R315" s="4">
        <f>IFERROR(Data_Analyst_Intern_Nikhil_Kumar_February2026[[#This Row],[Total]]/Data_Analyst_Intern_Nikhil_Kumar_February2026[[#This Row],[Discount(%)]],0)</f>
        <v>0</v>
      </c>
      <c r="S315" s="2">
        <f>Data_Analyst_Intern_Nikhil_Kumar_February2026[[#This Row],[Total]]-Data_Analyst_Intern_Nikhil_Kumar_February2026[[#This Row],[Discount Amount]]</f>
        <v>1199</v>
      </c>
      <c r="T315" t="s">
        <v>112</v>
      </c>
      <c r="U315" t="s">
        <v>45</v>
      </c>
      <c r="V315" t="s">
        <v>57</v>
      </c>
      <c r="W315" t="s">
        <v>58</v>
      </c>
      <c r="X315" t="s">
        <v>57</v>
      </c>
      <c r="Y315" s="1">
        <v>45671</v>
      </c>
      <c r="Z315" s="3">
        <f>Data_Analyst_Intern_Nikhil_Kumar_February2026[[#This Row],[Del Date]]-Data_Analyst_Intern_Nikhil_Kumar_February2026[[#This Row],[Order Date]]</f>
        <v>22</v>
      </c>
      <c r="AA315" s="3" t="str" cm="1">
        <f t="array" ref="AA315">_xlfn.IFS(Data_Analyst_Intern_Nikhil_Kumar_February2026[[#This Row],[Del Days]]&lt;=7,"Fast",Data_Analyst_Intern_Nikhil_Kumar_February2026[[#This Row],[Del Days]]&lt;=15,"Standard",Data_Analyst_Intern_Nikhil_Kumar_February2026[[#This Row],[Del Days]]&gt;15,"Slow")</f>
        <v>Slow</v>
      </c>
      <c r="AB315" t="s">
        <v>34</v>
      </c>
      <c r="AC315">
        <f>IF(Data_Analyst_Intern_Nikhil_Kumar_February2026[[#This Row],[Status]]="RTO", 1,0)</f>
        <v>0</v>
      </c>
      <c r="AD315">
        <f>IF(Data_Analyst_Intern_Nikhil_Kumar_February2026[[#This Row],[Status]]="Delivered",1,0)</f>
        <v>1</v>
      </c>
      <c r="AE315" t="s">
        <v>35</v>
      </c>
      <c r="AF315">
        <f>IF(AND(Data_Analyst_Intern_Nikhil_Kumar_February2026[[#This Row],[Status]]="Delivered",Data_Analyst_Intern_Nikhil_Kumar_February2026[[#This Row],[Return?]]="Yes"),1,0)</f>
        <v>0</v>
      </c>
      <c r="AG315" t="s">
        <v>29</v>
      </c>
      <c r="AI315" t="s">
        <v>36</v>
      </c>
    </row>
    <row r="316" spans="1:35" x14ac:dyDescent="0.3">
      <c r="A316" t="s">
        <v>1353</v>
      </c>
      <c r="B316" s="1">
        <v>45649</v>
      </c>
      <c r="C316" s="1" t="str">
        <f>TEXT(Data_Analyst_Intern_Nikhil_Kumar_February2026[[#This Row],[Order Date]], "mmmm")</f>
        <v>December</v>
      </c>
      <c r="D316" s="23">
        <f>WEEKNUM(Data_Analyst_Intern_Nikhil_Kumar_February2026[[#This Row],[Order Date]],2)</f>
        <v>52</v>
      </c>
      <c r="E316" s="23" t="str">
        <f>TEXT(Data_Analyst_Intern_Nikhil_Kumar_February2026[[#This Row],[Order Date]],"dddd")</f>
        <v>Monday</v>
      </c>
      <c r="F316" s="1">
        <v>45649</v>
      </c>
      <c r="G316" s="23" t="str">
        <f>TEXT(WEEKDAY(Data_Analyst_Intern_Nikhil_Kumar_February2026[[#This Row],[Order Date]],2), "dddd")</f>
        <v>Sunday</v>
      </c>
      <c r="H316" t="s">
        <v>1354</v>
      </c>
      <c r="I316" t="s">
        <v>25</v>
      </c>
      <c r="J316" t="s">
        <v>1355</v>
      </c>
      <c r="K316" t="s">
        <v>27</v>
      </c>
      <c r="L316" t="s">
        <v>1356</v>
      </c>
      <c r="M316" s="2">
        <v>2199</v>
      </c>
      <c r="N316">
        <v>1</v>
      </c>
      <c r="O316" s="2">
        <v>2199</v>
      </c>
      <c r="P316" t="s">
        <v>29</v>
      </c>
      <c r="Q316">
        <v>0</v>
      </c>
      <c r="R316" s="4">
        <f>IFERROR(Data_Analyst_Intern_Nikhil_Kumar_February2026[[#This Row],[Total]]/Data_Analyst_Intern_Nikhil_Kumar_February2026[[#This Row],[Discount(%)]],0)</f>
        <v>0</v>
      </c>
      <c r="S316" s="2">
        <f>Data_Analyst_Intern_Nikhil_Kumar_February2026[[#This Row],[Total]]-Data_Analyst_Intern_Nikhil_Kumar_February2026[[#This Row],[Discount Amount]]</f>
        <v>2199</v>
      </c>
      <c r="T316" t="s">
        <v>65</v>
      </c>
      <c r="U316" t="s">
        <v>66</v>
      </c>
      <c r="V316" t="s">
        <v>32</v>
      </c>
      <c r="W316" t="s">
        <v>33</v>
      </c>
      <c r="X316" t="s">
        <v>32</v>
      </c>
      <c r="Y316" s="1">
        <v>45672</v>
      </c>
      <c r="Z316" s="3">
        <f>Data_Analyst_Intern_Nikhil_Kumar_February2026[[#This Row],[Del Date]]-Data_Analyst_Intern_Nikhil_Kumar_February2026[[#This Row],[Order Date]]</f>
        <v>23</v>
      </c>
      <c r="AA316" s="3" t="str" cm="1">
        <f t="array" ref="AA316">_xlfn.IFS(Data_Analyst_Intern_Nikhil_Kumar_February2026[[#This Row],[Del Days]]&lt;=7,"Fast",Data_Analyst_Intern_Nikhil_Kumar_February2026[[#This Row],[Del Days]]&lt;=15,"Standard",Data_Analyst_Intern_Nikhil_Kumar_February2026[[#This Row],[Del Days]]&gt;15,"Slow")</f>
        <v>Slow</v>
      </c>
      <c r="AB316" t="s">
        <v>34</v>
      </c>
      <c r="AC316">
        <f>IF(Data_Analyst_Intern_Nikhil_Kumar_February2026[[#This Row],[Status]]="RTO", 1,0)</f>
        <v>0</v>
      </c>
      <c r="AD316">
        <f>IF(Data_Analyst_Intern_Nikhil_Kumar_February2026[[#This Row],[Status]]="Delivered",1,0)</f>
        <v>1</v>
      </c>
      <c r="AE316" t="s">
        <v>47</v>
      </c>
      <c r="AF316">
        <f>IF(AND(Data_Analyst_Intern_Nikhil_Kumar_February2026[[#This Row],[Status]]="Delivered",Data_Analyst_Intern_Nikhil_Kumar_February2026[[#This Row],[Return?]]="Yes"),1,0)</f>
        <v>1</v>
      </c>
      <c r="AG316" t="s">
        <v>139</v>
      </c>
      <c r="AH316" s="1">
        <v>45699</v>
      </c>
      <c r="AI316" t="s">
        <v>49</v>
      </c>
    </row>
    <row r="317" spans="1:35" x14ac:dyDescent="0.3">
      <c r="A317" t="s">
        <v>1357</v>
      </c>
      <c r="B317" s="1">
        <v>45649</v>
      </c>
      <c r="C317" s="1" t="str">
        <f>TEXT(Data_Analyst_Intern_Nikhil_Kumar_February2026[[#This Row],[Order Date]], "mmmm")</f>
        <v>December</v>
      </c>
      <c r="D317" s="23">
        <f>WEEKNUM(Data_Analyst_Intern_Nikhil_Kumar_February2026[[#This Row],[Order Date]],2)</f>
        <v>52</v>
      </c>
      <c r="E317" s="23" t="str">
        <f>TEXT(Data_Analyst_Intern_Nikhil_Kumar_February2026[[#This Row],[Order Date]],"dddd")</f>
        <v>Monday</v>
      </c>
      <c r="F317" s="1">
        <v>45649</v>
      </c>
      <c r="G317" s="23" t="str">
        <f>TEXT(WEEKDAY(Data_Analyst_Intern_Nikhil_Kumar_February2026[[#This Row],[Order Date]],2), "dddd")</f>
        <v>Sunday</v>
      </c>
      <c r="H317" t="s">
        <v>1358</v>
      </c>
      <c r="I317" t="s">
        <v>25</v>
      </c>
      <c r="J317" t="s">
        <v>1359</v>
      </c>
      <c r="K317" t="s">
        <v>41</v>
      </c>
      <c r="L317" t="s">
        <v>1360</v>
      </c>
      <c r="M317" s="2">
        <v>3799</v>
      </c>
      <c r="N317">
        <v>1</v>
      </c>
      <c r="O317" s="2">
        <v>3799</v>
      </c>
      <c r="P317" t="s">
        <v>995</v>
      </c>
      <c r="Q317">
        <v>20</v>
      </c>
      <c r="R317" s="4">
        <f>IFERROR(Data_Analyst_Intern_Nikhil_Kumar_February2026[[#This Row],[Total]]/Data_Analyst_Intern_Nikhil_Kumar_February2026[[#This Row],[Discount(%)]],0)</f>
        <v>189.95</v>
      </c>
      <c r="S317" s="2">
        <f>Data_Analyst_Intern_Nikhil_Kumar_February2026[[#This Row],[Total]]-Data_Analyst_Intern_Nikhil_Kumar_February2026[[#This Row],[Discount Amount]]</f>
        <v>3609.05</v>
      </c>
      <c r="T317" t="s">
        <v>44</v>
      </c>
      <c r="U317" t="s">
        <v>31</v>
      </c>
      <c r="V317" t="s">
        <v>46</v>
      </c>
      <c r="W317" t="s">
        <v>46</v>
      </c>
      <c r="X317" t="s">
        <v>46</v>
      </c>
      <c r="Y317" s="1">
        <v>45673</v>
      </c>
      <c r="Z317" s="3">
        <f>Data_Analyst_Intern_Nikhil_Kumar_February2026[[#This Row],[Del Date]]-Data_Analyst_Intern_Nikhil_Kumar_February2026[[#This Row],[Order Date]]</f>
        <v>24</v>
      </c>
      <c r="AA317" s="3" t="str" cm="1">
        <f t="array" ref="AA317">_xlfn.IFS(Data_Analyst_Intern_Nikhil_Kumar_February2026[[#This Row],[Del Days]]&lt;=7,"Fast",Data_Analyst_Intern_Nikhil_Kumar_February2026[[#This Row],[Del Days]]&lt;=15,"Standard",Data_Analyst_Intern_Nikhil_Kumar_February2026[[#This Row],[Del Days]]&gt;15,"Slow")</f>
        <v>Slow</v>
      </c>
      <c r="AB317" t="s">
        <v>34</v>
      </c>
      <c r="AC317">
        <f>IF(Data_Analyst_Intern_Nikhil_Kumar_February2026[[#This Row],[Status]]="RTO", 1,0)</f>
        <v>0</v>
      </c>
      <c r="AD317">
        <f>IF(Data_Analyst_Intern_Nikhil_Kumar_February2026[[#This Row],[Status]]="Delivered",1,0)</f>
        <v>1</v>
      </c>
      <c r="AE317" t="s">
        <v>47</v>
      </c>
      <c r="AF317">
        <f>IF(AND(Data_Analyst_Intern_Nikhil_Kumar_February2026[[#This Row],[Status]]="Delivered",Data_Analyst_Intern_Nikhil_Kumar_February2026[[#This Row],[Return?]]="Yes"),1,0)</f>
        <v>1</v>
      </c>
      <c r="AG317" t="s">
        <v>48</v>
      </c>
      <c r="AH317" s="1">
        <v>45701</v>
      </c>
      <c r="AI317" t="s">
        <v>49</v>
      </c>
    </row>
    <row r="318" spans="1:35" x14ac:dyDescent="0.3">
      <c r="A318" t="s">
        <v>1361</v>
      </c>
      <c r="B318" s="1">
        <v>45649</v>
      </c>
      <c r="C318" s="1" t="str">
        <f>TEXT(Data_Analyst_Intern_Nikhil_Kumar_February2026[[#This Row],[Order Date]], "mmmm")</f>
        <v>December</v>
      </c>
      <c r="D318" s="23">
        <f>WEEKNUM(Data_Analyst_Intern_Nikhil_Kumar_February2026[[#This Row],[Order Date]],2)</f>
        <v>52</v>
      </c>
      <c r="E318" s="23" t="str">
        <f>TEXT(Data_Analyst_Intern_Nikhil_Kumar_February2026[[#This Row],[Order Date]],"dddd")</f>
        <v>Monday</v>
      </c>
      <c r="F318" s="1">
        <v>45649</v>
      </c>
      <c r="G318" s="23" t="str">
        <f>TEXT(WEEKDAY(Data_Analyst_Intern_Nikhil_Kumar_February2026[[#This Row],[Order Date]],2), "dddd")</f>
        <v>Sunday</v>
      </c>
      <c r="H318" t="s">
        <v>1362</v>
      </c>
      <c r="I318" t="s">
        <v>25</v>
      </c>
      <c r="J318" t="s">
        <v>1363</v>
      </c>
      <c r="K318" t="s">
        <v>54</v>
      </c>
      <c r="L318" t="s">
        <v>1364</v>
      </c>
      <c r="M318" s="2">
        <v>2499</v>
      </c>
      <c r="N318">
        <v>1</v>
      </c>
      <c r="O318" s="2">
        <v>2499</v>
      </c>
      <c r="P318" t="s">
        <v>29</v>
      </c>
      <c r="Q318">
        <v>0</v>
      </c>
      <c r="R318" s="4">
        <f>IFERROR(Data_Analyst_Intern_Nikhil_Kumar_February2026[[#This Row],[Total]]/Data_Analyst_Intern_Nikhil_Kumar_February2026[[#This Row],[Discount(%)]],0)</f>
        <v>0</v>
      </c>
      <c r="S318" s="2">
        <f>Data_Analyst_Intern_Nikhil_Kumar_February2026[[#This Row],[Total]]-Data_Analyst_Intern_Nikhil_Kumar_February2026[[#This Row],[Discount Amount]]</f>
        <v>2499</v>
      </c>
      <c r="T318" t="s">
        <v>30</v>
      </c>
      <c r="U318" t="s">
        <v>45</v>
      </c>
      <c r="V318" t="s">
        <v>119</v>
      </c>
      <c r="W318" t="s">
        <v>120</v>
      </c>
      <c r="X318" t="s">
        <v>46</v>
      </c>
      <c r="Y318" s="1">
        <v>45673</v>
      </c>
      <c r="Z318" s="3">
        <f>Data_Analyst_Intern_Nikhil_Kumar_February2026[[#This Row],[Del Date]]-Data_Analyst_Intern_Nikhil_Kumar_February2026[[#This Row],[Order Date]]</f>
        <v>24</v>
      </c>
      <c r="AA318" s="3" t="str" cm="1">
        <f t="array" ref="AA318">_xlfn.IFS(Data_Analyst_Intern_Nikhil_Kumar_February2026[[#This Row],[Del Days]]&lt;=7,"Fast",Data_Analyst_Intern_Nikhil_Kumar_February2026[[#This Row],[Del Days]]&lt;=15,"Standard",Data_Analyst_Intern_Nikhil_Kumar_February2026[[#This Row],[Del Days]]&gt;15,"Slow")</f>
        <v>Slow</v>
      </c>
      <c r="AB318" t="s">
        <v>34</v>
      </c>
      <c r="AC318">
        <f>IF(Data_Analyst_Intern_Nikhil_Kumar_February2026[[#This Row],[Status]]="RTO", 1,0)</f>
        <v>0</v>
      </c>
      <c r="AD318">
        <f>IF(Data_Analyst_Intern_Nikhil_Kumar_February2026[[#This Row],[Status]]="Delivered",1,0)</f>
        <v>1</v>
      </c>
      <c r="AE318" t="s">
        <v>35</v>
      </c>
      <c r="AF318">
        <f>IF(AND(Data_Analyst_Intern_Nikhil_Kumar_February2026[[#This Row],[Status]]="Delivered",Data_Analyst_Intern_Nikhil_Kumar_February2026[[#This Row],[Return?]]="Yes"),1,0)</f>
        <v>0</v>
      </c>
      <c r="AG318" t="s">
        <v>29</v>
      </c>
      <c r="AI318" t="s">
        <v>36</v>
      </c>
    </row>
    <row r="319" spans="1:35" x14ac:dyDescent="0.3">
      <c r="A319" t="s">
        <v>1365</v>
      </c>
      <c r="B319" s="1">
        <v>45650</v>
      </c>
      <c r="C319" s="1" t="str">
        <f>TEXT(Data_Analyst_Intern_Nikhil_Kumar_February2026[[#This Row],[Order Date]], "mmmm")</f>
        <v>December</v>
      </c>
      <c r="D319" s="23">
        <f>WEEKNUM(Data_Analyst_Intern_Nikhil_Kumar_February2026[[#This Row],[Order Date]],2)</f>
        <v>52</v>
      </c>
      <c r="E319" s="23" t="str">
        <f>TEXT(Data_Analyst_Intern_Nikhil_Kumar_February2026[[#This Row],[Order Date]],"dddd")</f>
        <v>Tuesday</v>
      </c>
      <c r="F319" s="1">
        <v>45649</v>
      </c>
      <c r="G319" s="23" t="str">
        <f>TEXT(WEEKDAY(Data_Analyst_Intern_Nikhil_Kumar_February2026[[#This Row],[Order Date]],2), "dddd")</f>
        <v>Monday</v>
      </c>
      <c r="H319" t="s">
        <v>1366</v>
      </c>
      <c r="I319" t="s">
        <v>25</v>
      </c>
      <c r="J319" t="s">
        <v>1367</v>
      </c>
      <c r="K319" t="s">
        <v>62</v>
      </c>
      <c r="L319" t="s">
        <v>1368</v>
      </c>
      <c r="M319" s="2">
        <v>6499</v>
      </c>
      <c r="N319">
        <v>1</v>
      </c>
      <c r="O319" s="2">
        <v>6499</v>
      </c>
      <c r="P319" t="s">
        <v>29</v>
      </c>
      <c r="Q319">
        <v>0</v>
      </c>
      <c r="R319" s="4">
        <f>IFERROR(Data_Analyst_Intern_Nikhil_Kumar_February2026[[#This Row],[Total]]/Data_Analyst_Intern_Nikhil_Kumar_February2026[[#This Row],[Discount(%)]],0)</f>
        <v>0</v>
      </c>
      <c r="S319" s="2">
        <f>Data_Analyst_Intern_Nikhil_Kumar_February2026[[#This Row],[Total]]-Data_Analyst_Intern_Nikhil_Kumar_February2026[[#This Row],[Discount Amount]]</f>
        <v>6499</v>
      </c>
      <c r="T319" t="s">
        <v>56</v>
      </c>
      <c r="U319" t="s">
        <v>66</v>
      </c>
      <c r="V319" t="s">
        <v>138</v>
      </c>
      <c r="W319" t="s">
        <v>114</v>
      </c>
      <c r="X319" t="s">
        <v>46</v>
      </c>
      <c r="Y319" s="1">
        <v>45674</v>
      </c>
      <c r="Z319" s="3">
        <f>Data_Analyst_Intern_Nikhil_Kumar_February2026[[#This Row],[Del Date]]-Data_Analyst_Intern_Nikhil_Kumar_February2026[[#This Row],[Order Date]]</f>
        <v>24</v>
      </c>
      <c r="AA319" s="3" t="str" cm="1">
        <f t="array" ref="AA319">_xlfn.IFS(Data_Analyst_Intern_Nikhil_Kumar_February2026[[#This Row],[Del Days]]&lt;=7,"Fast",Data_Analyst_Intern_Nikhil_Kumar_February2026[[#This Row],[Del Days]]&lt;=15,"Standard",Data_Analyst_Intern_Nikhil_Kumar_February2026[[#This Row],[Del Days]]&gt;15,"Slow")</f>
        <v>Slow</v>
      </c>
      <c r="AB319" t="s">
        <v>34</v>
      </c>
      <c r="AC319">
        <f>IF(Data_Analyst_Intern_Nikhil_Kumar_February2026[[#This Row],[Status]]="RTO", 1,0)</f>
        <v>0</v>
      </c>
      <c r="AD319">
        <f>IF(Data_Analyst_Intern_Nikhil_Kumar_February2026[[#This Row],[Status]]="Delivered",1,0)</f>
        <v>1</v>
      </c>
      <c r="AE319" t="s">
        <v>47</v>
      </c>
      <c r="AF319">
        <f>IF(AND(Data_Analyst_Intern_Nikhil_Kumar_February2026[[#This Row],[Status]]="Delivered",Data_Analyst_Intern_Nikhil_Kumar_February2026[[#This Row],[Return?]]="Yes"),1,0)</f>
        <v>1</v>
      </c>
      <c r="AG319" t="s">
        <v>80</v>
      </c>
      <c r="AH319" s="1">
        <v>45702</v>
      </c>
      <c r="AI319" t="s">
        <v>49</v>
      </c>
    </row>
    <row r="320" spans="1:35" x14ac:dyDescent="0.3">
      <c r="A320" t="s">
        <v>1369</v>
      </c>
      <c r="B320" s="1">
        <v>45650</v>
      </c>
      <c r="C320" s="1" t="str">
        <f>TEXT(Data_Analyst_Intern_Nikhil_Kumar_February2026[[#This Row],[Order Date]], "mmmm")</f>
        <v>December</v>
      </c>
      <c r="D320" s="23">
        <f>WEEKNUM(Data_Analyst_Intern_Nikhil_Kumar_February2026[[#This Row],[Order Date]],2)</f>
        <v>52</v>
      </c>
      <c r="E320" s="23" t="str">
        <f>TEXT(Data_Analyst_Intern_Nikhil_Kumar_February2026[[#This Row],[Order Date]],"dddd")</f>
        <v>Tuesday</v>
      </c>
      <c r="F320" s="1">
        <v>45649</v>
      </c>
      <c r="G320" s="23" t="str">
        <f>TEXT(WEEKDAY(Data_Analyst_Intern_Nikhil_Kumar_February2026[[#This Row],[Order Date]],2), "dddd")</f>
        <v>Monday</v>
      </c>
      <c r="H320" t="s">
        <v>1370</v>
      </c>
      <c r="I320" t="s">
        <v>39</v>
      </c>
      <c r="J320" t="s">
        <v>1371</v>
      </c>
      <c r="K320" t="s">
        <v>72</v>
      </c>
      <c r="L320" t="s">
        <v>1372</v>
      </c>
      <c r="M320" s="2">
        <v>499</v>
      </c>
      <c r="N320">
        <v>3</v>
      </c>
      <c r="O320" s="2">
        <v>1497</v>
      </c>
      <c r="P320" t="s">
        <v>995</v>
      </c>
      <c r="Q320">
        <v>20</v>
      </c>
      <c r="R320" s="4">
        <f>IFERROR(Data_Analyst_Intern_Nikhil_Kumar_February2026[[#This Row],[Total]]/Data_Analyst_Intern_Nikhil_Kumar_February2026[[#This Row],[Discount(%)]],0)</f>
        <v>74.849999999999994</v>
      </c>
      <c r="S320" s="2">
        <f>Data_Analyst_Intern_Nikhil_Kumar_February2026[[#This Row],[Total]]-Data_Analyst_Intern_Nikhil_Kumar_February2026[[#This Row],[Discount Amount]]</f>
        <v>1422.15</v>
      </c>
      <c r="T320" t="s">
        <v>112</v>
      </c>
      <c r="U320" t="s">
        <v>31</v>
      </c>
      <c r="V320" t="s">
        <v>144</v>
      </c>
      <c r="W320" t="s">
        <v>145</v>
      </c>
      <c r="X320" t="s">
        <v>46</v>
      </c>
      <c r="Y320" s="1">
        <v>45673</v>
      </c>
      <c r="Z320" s="3">
        <f>Data_Analyst_Intern_Nikhil_Kumar_February2026[[#This Row],[Del Date]]-Data_Analyst_Intern_Nikhil_Kumar_February2026[[#This Row],[Order Date]]</f>
        <v>23</v>
      </c>
      <c r="AA320" s="3" t="str" cm="1">
        <f t="array" ref="AA320">_xlfn.IFS(Data_Analyst_Intern_Nikhil_Kumar_February2026[[#This Row],[Del Days]]&lt;=7,"Fast",Data_Analyst_Intern_Nikhil_Kumar_February2026[[#This Row],[Del Days]]&lt;=15,"Standard",Data_Analyst_Intern_Nikhil_Kumar_February2026[[#This Row],[Del Days]]&gt;15,"Slow")</f>
        <v>Slow</v>
      </c>
      <c r="AB320" t="s">
        <v>34</v>
      </c>
      <c r="AC320">
        <f>IF(Data_Analyst_Intern_Nikhil_Kumar_February2026[[#This Row],[Status]]="RTO", 1,0)</f>
        <v>0</v>
      </c>
      <c r="AD320">
        <f>IF(Data_Analyst_Intern_Nikhil_Kumar_February2026[[#This Row],[Status]]="Delivered",1,0)</f>
        <v>1</v>
      </c>
      <c r="AE320" t="s">
        <v>35</v>
      </c>
      <c r="AF320">
        <f>IF(AND(Data_Analyst_Intern_Nikhil_Kumar_February2026[[#This Row],[Status]]="Delivered",Data_Analyst_Intern_Nikhil_Kumar_February2026[[#This Row],[Return?]]="Yes"),1,0)</f>
        <v>0</v>
      </c>
      <c r="AG320" t="s">
        <v>29</v>
      </c>
      <c r="AI320" t="s">
        <v>36</v>
      </c>
    </row>
    <row r="321" spans="1:35" x14ac:dyDescent="0.3">
      <c r="A321" t="s">
        <v>1373</v>
      </c>
      <c r="B321" s="1">
        <v>45650</v>
      </c>
      <c r="C321" s="1" t="str">
        <f>TEXT(Data_Analyst_Intern_Nikhil_Kumar_February2026[[#This Row],[Order Date]], "mmmm")</f>
        <v>December</v>
      </c>
      <c r="D321" s="23">
        <f>WEEKNUM(Data_Analyst_Intern_Nikhil_Kumar_February2026[[#This Row],[Order Date]],2)</f>
        <v>52</v>
      </c>
      <c r="E321" s="23" t="str">
        <f>TEXT(Data_Analyst_Intern_Nikhil_Kumar_February2026[[#This Row],[Order Date]],"dddd")</f>
        <v>Tuesday</v>
      </c>
      <c r="F321" s="1">
        <v>45649</v>
      </c>
      <c r="G321" s="23" t="str">
        <f>TEXT(WEEKDAY(Data_Analyst_Intern_Nikhil_Kumar_February2026[[#This Row],[Order Date]],2), "dddd")</f>
        <v>Monday</v>
      </c>
      <c r="H321" t="s">
        <v>1374</v>
      </c>
      <c r="I321" t="s">
        <v>25</v>
      </c>
      <c r="J321" t="s">
        <v>1375</v>
      </c>
      <c r="K321" t="s">
        <v>27</v>
      </c>
      <c r="L321" t="s">
        <v>1376</v>
      </c>
      <c r="M321" s="2">
        <v>1799</v>
      </c>
      <c r="N321">
        <v>1</v>
      </c>
      <c r="O321" s="2">
        <v>1799</v>
      </c>
      <c r="P321" t="s">
        <v>29</v>
      </c>
      <c r="Q321">
        <v>0</v>
      </c>
      <c r="R321" s="4">
        <f>IFERROR(Data_Analyst_Intern_Nikhil_Kumar_February2026[[#This Row],[Total]]/Data_Analyst_Intern_Nikhil_Kumar_February2026[[#This Row],[Discount(%)]],0)</f>
        <v>0</v>
      </c>
      <c r="S321" s="2">
        <f>Data_Analyst_Intern_Nikhil_Kumar_February2026[[#This Row],[Total]]-Data_Analyst_Intern_Nikhil_Kumar_February2026[[#This Row],[Discount Amount]]</f>
        <v>1799</v>
      </c>
      <c r="T321" t="s">
        <v>65</v>
      </c>
      <c r="U321" t="s">
        <v>45</v>
      </c>
      <c r="V321" t="s">
        <v>150</v>
      </c>
      <c r="W321" t="s">
        <v>151</v>
      </c>
      <c r="X321" t="s">
        <v>32</v>
      </c>
      <c r="Y321" s="1">
        <v>45674</v>
      </c>
      <c r="Z321" s="3">
        <f>Data_Analyst_Intern_Nikhil_Kumar_February2026[[#This Row],[Del Date]]-Data_Analyst_Intern_Nikhil_Kumar_February2026[[#This Row],[Order Date]]</f>
        <v>24</v>
      </c>
      <c r="AA321" s="3" t="str" cm="1">
        <f t="array" ref="AA321">_xlfn.IFS(Data_Analyst_Intern_Nikhil_Kumar_February2026[[#This Row],[Del Days]]&lt;=7,"Fast",Data_Analyst_Intern_Nikhil_Kumar_February2026[[#This Row],[Del Days]]&lt;=15,"Standard",Data_Analyst_Intern_Nikhil_Kumar_February2026[[#This Row],[Del Days]]&gt;15,"Slow")</f>
        <v>Slow</v>
      </c>
      <c r="AB321" t="s">
        <v>34</v>
      </c>
      <c r="AC321">
        <f>IF(Data_Analyst_Intern_Nikhil_Kumar_February2026[[#This Row],[Status]]="RTO", 1,0)</f>
        <v>0</v>
      </c>
      <c r="AD321">
        <f>IF(Data_Analyst_Intern_Nikhil_Kumar_February2026[[#This Row],[Status]]="Delivered",1,0)</f>
        <v>1</v>
      </c>
      <c r="AE321" t="s">
        <v>47</v>
      </c>
      <c r="AF321">
        <f>IF(AND(Data_Analyst_Intern_Nikhil_Kumar_February2026[[#This Row],[Status]]="Delivered",Data_Analyst_Intern_Nikhil_Kumar_February2026[[#This Row],[Return?]]="Yes"),1,0)</f>
        <v>1</v>
      </c>
      <c r="AG321" t="s">
        <v>69</v>
      </c>
      <c r="AH321" s="1">
        <v>45701</v>
      </c>
      <c r="AI321" t="s">
        <v>49</v>
      </c>
    </row>
    <row r="322" spans="1:35" x14ac:dyDescent="0.3">
      <c r="A322" t="s">
        <v>1377</v>
      </c>
      <c r="B322" s="1">
        <v>45650</v>
      </c>
      <c r="C322" s="1" t="str">
        <f>TEXT(Data_Analyst_Intern_Nikhil_Kumar_February2026[[#This Row],[Order Date]], "mmmm")</f>
        <v>December</v>
      </c>
      <c r="D322" s="23">
        <f>WEEKNUM(Data_Analyst_Intern_Nikhil_Kumar_February2026[[#This Row],[Order Date]],2)</f>
        <v>52</v>
      </c>
      <c r="E322" s="23" t="str">
        <f>TEXT(Data_Analyst_Intern_Nikhil_Kumar_February2026[[#This Row],[Order Date]],"dddd")</f>
        <v>Tuesday</v>
      </c>
      <c r="F322" s="1">
        <v>45649</v>
      </c>
      <c r="G322" s="23" t="str">
        <f>TEXT(WEEKDAY(Data_Analyst_Intern_Nikhil_Kumar_February2026[[#This Row],[Order Date]],2), "dddd")</f>
        <v>Monday</v>
      </c>
      <c r="H322" t="s">
        <v>1378</v>
      </c>
      <c r="I322" t="s">
        <v>25</v>
      </c>
      <c r="J322" t="s">
        <v>1379</v>
      </c>
      <c r="K322" t="s">
        <v>41</v>
      </c>
      <c r="L322" t="s">
        <v>1380</v>
      </c>
      <c r="M322" s="2">
        <v>4299</v>
      </c>
      <c r="N322">
        <v>1</v>
      </c>
      <c r="O322" s="2">
        <v>4299</v>
      </c>
      <c r="P322" t="s">
        <v>29</v>
      </c>
      <c r="Q322">
        <v>0</v>
      </c>
      <c r="R322" s="4">
        <f>IFERROR(Data_Analyst_Intern_Nikhil_Kumar_February2026[[#This Row],[Total]]/Data_Analyst_Intern_Nikhil_Kumar_February2026[[#This Row],[Discount(%)]],0)</f>
        <v>0</v>
      </c>
      <c r="S322" s="2">
        <f>Data_Analyst_Intern_Nikhil_Kumar_February2026[[#This Row],[Total]]-Data_Analyst_Intern_Nikhil_Kumar_February2026[[#This Row],[Discount Amount]]</f>
        <v>4299</v>
      </c>
      <c r="T322" t="s">
        <v>44</v>
      </c>
      <c r="U322" t="s">
        <v>66</v>
      </c>
      <c r="V322" t="s">
        <v>156</v>
      </c>
      <c r="W322" t="s">
        <v>98</v>
      </c>
      <c r="X322" t="s">
        <v>32</v>
      </c>
      <c r="Y322" s="1">
        <v>45675</v>
      </c>
      <c r="Z322" s="3">
        <f>Data_Analyst_Intern_Nikhil_Kumar_February2026[[#This Row],[Del Date]]-Data_Analyst_Intern_Nikhil_Kumar_February2026[[#This Row],[Order Date]]</f>
        <v>25</v>
      </c>
      <c r="AA322" s="3" t="str" cm="1">
        <f t="array" ref="AA322">_xlfn.IFS(Data_Analyst_Intern_Nikhil_Kumar_February2026[[#This Row],[Del Days]]&lt;=7,"Fast",Data_Analyst_Intern_Nikhil_Kumar_February2026[[#This Row],[Del Days]]&lt;=15,"Standard",Data_Analyst_Intern_Nikhil_Kumar_February2026[[#This Row],[Del Days]]&gt;15,"Slow")</f>
        <v>Slow</v>
      </c>
      <c r="AB322" t="s">
        <v>34</v>
      </c>
      <c r="AC322">
        <f>IF(Data_Analyst_Intern_Nikhil_Kumar_February2026[[#This Row],[Status]]="RTO", 1,0)</f>
        <v>0</v>
      </c>
      <c r="AD322">
        <f>IF(Data_Analyst_Intern_Nikhil_Kumar_February2026[[#This Row],[Status]]="Delivered",1,0)</f>
        <v>1</v>
      </c>
      <c r="AE322" t="s">
        <v>47</v>
      </c>
      <c r="AF322">
        <f>IF(AND(Data_Analyst_Intern_Nikhil_Kumar_February2026[[#This Row],[Status]]="Delivered",Data_Analyst_Intern_Nikhil_Kumar_February2026[[#This Row],[Return?]]="Yes"),1,0)</f>
        <v>1</v>
      </c>
      <c r="AG322" t="s">
        <v>48</v>
      </c>
      <c r="AH322" s="1">
        <v>45703</v>
      </c>
      <c r="AI322" t="s">
        <v>49</v>
      </c>
    </row>
    <row r="323" spans="1:35" x14ac:dyDescent="0.3">
      <c r="A323" t="s">
        <v>1381</v>
      </c>
      <c r="B323" s="1">
        <v>45651</v>
      </c>
      <c r="C323" s="1" t="str">
        <f>TEXT(Data_Analyst_Intern_Nikhil_Kumar_February2026[[#This Row],[Order Date]], "mmmm")</f>
        <v>December</v>
      </c>
      <c r="D323" s="23">
        <f>WEEKNUM(Data_Analyst_Intern_Nikhil_Kumar_February2026[[#This Row],[Order Date]],2)</f>
        <v>52</v>
      </c>
      <c r="E323" s="23" t="str">
        <f>TEXT(Data_Analyst_Intern_Nikhil_Kumar_February2026[[#This Row],[Order Date]],"dddd")</f>
        <v>Wednesday</v>
      </c>
      <c r="F323" s="1">
        <v>45649</v>
      </c>
      <c r="G323" s="23" t="str">
        <f>TEXT(WEEKDAY(Data_Analyst_Intern_Nikhil_Kumar_February2026[[#This Row],[Order Date]],2), "dddd")</f>
        <v>Tuesday</v>
      </c>
      <c r="H323" t="s">
        <v>1382</v>
      </c>
      <c r="I323" t="s">
        <v>25</v>
      </c>
      <c r="J323" t="s">
        <v>1383</v>
      </c>
      <c r="K323" t="s">
        <v>54</v>
      </c>
      <c r="L323" t="s">
        <v>1384</v>
      </c>
      <c r="M323" s="2">
        <v>1899</v>
      </c>
      <c r="N323">
        <v>1</v>
      </c>
      <c r="O323" s="2">
        <v>1899</v>
      </c>
      <c r="P323" t="s">
        <v>995</v>
      </c>
      <c r="Q323">
        <v>20</v>
      </c>
      <c r="R323" s="4">
        <f>IFERROR(Data_Analyst_Intern_Nikhil_Kumar_February2026[[#This Row],[Total]]/Data_Analyst_Intern_Nikhil_Kumar_February2026[[#This Row],[Discount(%)]],0)</f>
        <v>94.95</v>
      </c>
      <c r="S323" s="2">
        <f>Data_Analyst_Intern_Nikhil_Kumar_February2026[[#This Row],[Total]]-Data_Analyst_Intern_Nikhil_Kumar_February2026[[#This Row],[Discount Amount]]</f>
        <v>1804.05</v>
      </c>
      <c r="T323" t="s">
        <v>30</v>
      </c>
      <c r="U323" t="s">
        <v>31</v>
      </c>
      <c r="V323" t="s">
        <v>161</v>
      </c>
      <c r="W323" t="s">
        <v>162</v>
      </c>
      <c r="X323" t="s">
        <v>46</v>
      </c>
      <c r="Y323" s="1">
        <v>45675</v>
      </c>
      <c r="Z323" s="3">
        <f>Data_Analyst_Intern_Nikhil_Kumar_February2026[[#This Row],[Del Date]]-Data_Analyst_Intern_Nikhil_Kumar_February2026[[#This Row],[Order Date]]</f>
        <v>24</v>
      </c>
      <c r="AA323" s="3" t="str" cm="1">
        <f t="array" ref="AA323">_xlfn.IFS(Data_Analyst_Intern_Nikhil_Kumar_February2026[[#This Row],[Del Days]]&lt;=7,"Fast",Data_Analyst_Intern_Nikhil_Kumar_February2026[[#This Row],[Del Days]]&lt;=15,"Standard",Data_Analyst_Intern_Nikhil_Kumar_February2026[[#This Row],[Del Days]]&gt;15,"Slow")</f>
        <v>Slow</v>
      </c>
      <c r="AB323" t="s">
        <v>34</v>
      </c>
      <c r="AC323">
        <f>IF(Data_Analyst_Intern_Nikhil_Kumar_February2026[[#This Row],[Status]]="RTO", 1,0)</f>
        <v>0</v>
      </c>
      <c r="AD323">
        <f>IF(Data_Analyst_Intern_Nikhil_Kumar_February2026[[#This Row],[Status]]="Delivered",1,0)</f>
        <v>1</v>
      </c>
      <c r="AE323" t="s">
        <v>35</v>
      </c>
      <c r="AF323">
        <f>IF(AND(Data_Analyst_Intern_Nikhil_Kumar_February2026[[#This Row],[Status]]="Delivered",Data_Analyst_Intern_Nikhil_Kumar_February2026[[#This Row],[Return?]]="Yes"),1,0)</f>
        <v>0</v>
      </c>
      <c r="AG323" t="s">
        <v>29</v>
      </c>
      <c r="AI323" t="s">
        <v>36</v>
      </c>
    </row>
    <row r="324" spans="1:35" x14ac:dyDescent="0.3">
      <c r="A324" t="s">
        <v>1385</v>
      </c>
      <c r="B324" s="1">
        <v>45651</v>
      </c>
      <c r="C324" s="1" t="str">
        <f>TEXT(Data_Analyst_Intern_Nikhil_Kumar_February2026[[#This Row],[Order Date]], "mmmm")</f>
        <v>December</v>
      </c>
      <c r="D324" s="23">
        <f>WEEKNUM(Data_Analyst_Intern_Nikhil_Kumar_February2026[[#This Row],[Order Date]],2)</f>
        <v>52</v>
      </c>
      <c r="E324" s="23" t="str">
        <f>TEXT(Data_Analyst_Intern_Nikhil_Kumar_February2026[[#This Row],[Order Date]],"dddd")</f>
        <v>Wednesday</v>
      </c>
      <c r="F324" s="1">
        <v>45649</v>
      </c>
      <c r="G324" s="23" t="str">
        <f>TEXT(WEEKDAY(Data_Analyst_Intern_Nikhil_Kumar_February2026[[#This Row],[Order Date]],2), "dddd")</f>
        <v>Tuesday</v>
      </c>
      <c r="H324" t="s">
        <v>1386</v>
      </c>
      <c r="I324" t="s">
        <v>25</v>
      </c>
      <c r="J324" t="s">
        <v>1387</v>
      </c>
      <c r="K324" t="s">
        <v>62</v>
      </c>
      <c r="L324" t="s">
        <v>1388</v>
      </c>
      <c r="M324" s="2">
        <v>4999</v>
      </c>
      <c r="N324">
        <v>1</v>
      </c>
      <c r="O324" s="2">
        <v>4999</v>
      </c>
      <c r="P324" t="s">
        <v>29</v>
      </c>
      <c r="Q324">
        <v>0</v>
      </c>
      <c r="R324" s="4">
        <f>IFERROR(Data_Analyst_Intern_Nikhil_Kumar_February2026[[#This Row],[Total]]/Data_Analyst_Intern_Nikhil_Kumar_February2026[[#This Row],[Discount(%)]],0)</f>
        <v>0</v>
      </c>
      <c r="S324" s="2">
        <f>Data_Analyst_Intern_Nikhil_Kumar_February2026[[#This Row],[Total]]-Data_Analyst_Intern_Nikhil_Kumar_February2026[[#This Row],[Discount Amount]]</f>
        <v>4999</v>
      </c>
      <c r="T324" t="s">
        <v>56</v>
      </c>
      <c r="U324" t="s">
        <v>45</v>
      </c>
      <c r="V324" t="s">
        <v>167</v>
      </c>
      <c r="W324" t="s">
        <v>151</v>
      </c>
      <c r="X324" t="s">
        <v>32</v>
      </c>
      <c r="Y324" s="1">
        <v>45676</v>
      </c>
      <c r="Z324" s="3">
        <f>Data_Analyst_Intern_Nikhil_Kumar_February2026[[#This Row],[Del Date]]-Data_Analyst_Intern_Nikhil_Kumar_February2026[[#This Row],[Order Date]]</f>
        <v>25</v>
      </c>
      <c r="AA324" s="3" t="str" cm="1">
        <f t="array" ref="AA324">_xlfn.IFS(Data_Analyst_Intern_Nikhil_Kumar_February2026[[#This Row],[Del Days]]&lt;=7,"Fast",Data_Analyst_Intern_Nikhil_Kumar_February2026[[#This Row],[Del Days]]&lt;=15,"Standard",Data_Analyst_Intern_Nikhil_Kumar_February2026[[#This Row],[Del Days]]&gt;15,"Slow")</f>
        <v>Slow</v>
      </c>
      <c r="AB324" t="s">
        <v>34</v>
      </c>
      <c r="AC324">
        <f>IF(Data_Analyst_Intern_Nikhil_Kumar_February2026[[#This Row],[Status]]="RTO", 1,0)</f>
        <v>0</v>
      </c>
      <c r="AD324">
        <f>IF(Data_Analyst_Intern_Nikhil_Kumar_February2026[[#This Row],[Status]]="Delivered",1,0)</f>
        <v>1</v>
      </c>
      <c r="AE324" t="s">
        <v>47</v>
      </c>
      <c r="AF324">
        <f>IF(AND(Data_Analyst_Intern_Nikhil_Kumar_February2026[[#This Row],[Status]]="Delivered",Data_Analyst_Intern_Nikhil_Kumar_February2026[[#This Row],[Return?]]="Yes"),1,0)</f>
        <v>1</v>
      </c>
      <c r="AG324" t="s">
        <v>105</v>
      </c>
      <c r="AH324" s="1">
        <v>45704</v>
      </c>
      <c r="AI324" t="s">
        <v>49</v>
      </c>
    </row>
    <row r="325" spans="1:35" x14ac:dyDescent="0.3">
      <c r="A325" t="s">
        <v>1389</v>
      </c>
      <c r="B325" s="1">
        <v>45651</v>
      </c>
      <c r="C325" s="1" t="str">
        <f>TEXT(Data_Analyst_Intern_Nikhil_Kumar_February2026[[#This Row],[Order Date]], "mmmm")</f>
        <v>December</v>
      </c>
      <c r="D325" s="23">
        <f>WEEKNUM(Data_Analyst_Intern_Nikhil_Kumar_February2026[[#This Row],[Order Date]],2)</f>
        <v>52</v>
      </c>
      <c r="E325" s="23" t="str">
        <f>TEXT(Data_Analyst_Intern_Nikhil_Kumar_February2026[[#This Row],[Order Date]],"dddd")</f>
        <v>Wednesday</v>
      </c>
      <c r="F325" s="1">
        <v>45649</v>
      </c>
      <c r="G325" s="23" t="str">
        <f>TEXT(WEEKDAY(Data_Analyst_Intern_Nikhil_Kumar_February2026[[#This Row],[Order Date]],2), "dddd")</f>
        <v>Tuesday</v>
      </c>
      <c r="H325" t="s">
        <v>1390</v>
      </c>
      <c r="I325" t="s">
        <v>39</v>
      </c>
      <c r="J325" t="s">
        <v>1391</v>
      </c>
      <c r="K325" t="s">
        <v>72</v>
      </c>
      <c r="L325" t="s">
        <v>1392</v>
      </c>
      <c r="M325" s="2">
        <v>1399</v>
      </c>
      <c r="N325">
        <v>1</v>
      </c>
      <c r="O325" s="2">
        <v>1399</v>
      </c>
      <c r="P325" t="s">
        <v>29</v>
      </c>
      <c r="Q325">
        <v>0</v>
      </c>
      <c r="R325" s="4">
        <f>IFERROR(Data_Analyst_Intern_Nikhil_Kumar_February2026[[#This Row],[Total]]/Data_Analyst_Intern_Nikhil_Kumar_February2026[[#This Row],[Discount(%)]],0)</f>
        <v>0</v>
      </c>
      <c r="S325" s="2">
        <f>Data_Analyst_Intern_Nikhil_Kumar_February2026[[#This Row],[Total]]-Data_Analyst_Intern_Nikhil_Kumar_February2026[[#This Row],[Discount Amount]]</f>
        <v>1399</v>
      </c>
      <c r="T325" t="s">
        <v>112</v>
      </c>
      <c r="U325" t="s">
        <v>66</v>
      </c>
      <c r="V325" t="s">
        <v>172</v>
      </c>
      <c r="W325" t="s">
        <v>33</v>
      </c>
      <c r="X325" t="s">
        <v>32</v>
      </c>
      <c r="Y325" s="1">
        <v>45675</v>
      </c>
      <c r="Z325" s="3">
        <f>Data_Analyst_Intern_Nikhil_Kumar_February2026[[#This Row],[Del Date]]-Data_Analyst_Intern_Nikhil_Kumar_February2026[[#This Row],[Order Date]]</f>
        <v>24</v>
      </c>
      <c r="AA325" s="3" t="str" cm="1">
        <f t="array" ref="AA325">_xlfn.IFS(Data_Analyst_Intern_Nikhil_Kumar_February2026[[#This Row],[Del Days]]&lt;=7,"Fast",Data_Analyst_Intern_Nikhil_Kumar_February2026[[#This Row],[Del Days]]&lt;=15,"Standard",Data_Analyst_Intern_Nikhil_Kumar_February2026[[#This Row],[Del Days]]&gt;15,"Slow")</f>
        <v>Slow</v>
      </c>
      <c r="AB325" t="s">
        <v>34</v>
      </c>
      <c r="AC325">
        <f>IF(Data_Analyst_Intern_Nikhil_Kumar_February2026[[#This Row],[Status]]="RTO", 1,0)</f>
        <v>0</v>
      </c>
      <c r="AD325">
        <f>IF(Data_Analyst_Intern_Nikhil_Kumar_February2026[[#This Row],[Status]]="Delivered",1,0)</f>
        <v>1</v>
      </c>
      <c r="AE325" t="s">
        <v>35</v>
      </c>
      <c r="AF325">
        <f>IF(AND(Data_Analyst_Intern_Nikhil_Kumar_February2026[[#This Row],[Status]]="Delivered",Data_Analyst_Intern_Nikhil_Kumar_February2026[[#This Row],[Return?]]="Yes"),1,0)</f>
        <v>0</v>
      </c>
      <c r="AG325" t="s">
        <v>29</v>
      </c>
      <c r="AI325" t="s">
        <v>36</v>
      </c>
    </row>
    <row r="326" spans="1:35" x14ac:dyDescent="0.3">
      <c r="A326" t="s">
        <v>1393</v>
      </c>
      <c r="B326" s="1">
        <v>45651</v>
      </c>
      <c r="C326" s="1" t="str">
        <f>TEXT(Data_Analyst_Intern_Nikhil_Kumar_February2026[[#This Row],[Order Date]], "mmmm")</f>
        <v>December</v>
      </c>
      <c r="D326" s="23">
        <f>WEEKNUM(Data_Analyst_Intern_Nikhil_Kumar_February2026[[#This Row],[Order Date]],2)</f>
        <v>52</v>
      </c>
      <c r="E326" s="23" t="str">
        <f>TEXT(Data_Analyst_Intern_Nikhil_Kumar_February2026[[#This Row],[Order Date]],"dddd")</f>
        <v>Wednesday</v>
      </c>
      <c r="F326" s="1">
        <v>45649</v>
      </c>
      <c r="G326" s="23" t="str">
        <f>TEXT(WEEKDAY(Data_Analyst_Intern_Nikhil_Kumar_February2026[[#This Row],[Order Date]],2), "dddd")</f>
        <v>Tuesday</v>
      </c>
      <c r="H326" t="s">
        <v>1394</v>
      </c>
      <c r="I326" t="s">
        <v>25</v>
      </c>
      <c r="J326" t="s">
        <v>1395</v>
      </c>
      <c r="K326" t="s">
        <v>27</v>
      </c>
      <c r="L326" t="s">
        <v>1396</v>
      </c>
      <c r="M326" s="2">
        <v>2099</v>
      </c>
      <c r="N326">
        <v>1</v>
      </c>
      <c r="O326" s="2">
        <v>2099</v>
      </c>
      <c r="P326" t="s">
        <v>995</v>
      </c>
      <c r="Q326">
        <v>20</v>
      </c>
      <c r="R326" s="4">
        <f>IFERROR(Data_Analyst_Intern_Nikhil_Kumar_February2026[[#This Row],[Total]]/Data_Analyst_Intern_Nikhil_Kumar_February2026[[#This Row],[Discount(%)]],0)</f>
        <v>104.95</v>
      </c>
      <c r="S326" s="2">
        <f>Data_Analyst_Intern_Nikhil_Kumar_February2026[[#This Row],[Total]]-Data_Analyst_Intern_Nikhil_Kumar_February2026[[#This Row],[Discount Amount]]</f>
        <v>1994.05</v>
      </c>
      <c r="T326" t="s">
        <v>65</v>
      </c>
      <c r="U326" t="s">
        <v>31</v>
      </c>
      <c r="V326" t="s">
        <v>177</v>
      </c>
      <c r="W326" t="s">
        <v>68</v>
      </c>
      <c r="X326" t="s">
        <v>57</v>
      </c>
      <c r="Y326" s="1">
        <v>45676</v>
      </c>
      <c r="Z326" s="3">
        <f>Data_Analyst_Intern_Nikhil_Kumar_February2026[[#This Row],[Del Date]]-Data_Analyst_Intern_Nikhil_Kumar_February2026[[#This Row],[Order Date]]</f>
        <v>25</v>
      </c>
      <c r="AA326" s="3" t="str" cm="1">
        <f t="array" ref="AA326">_xlfn.IFS(Data_Analyst_Intern_Nikhil_Kumar_February2026[[#This Row],[Del Days]]&lt;=7,"Fast",Data_Analyst_Intern_Nikhil_Kumar_February2026[[#This Row],[Del Days]]&lt;=15,"Standard",Data_Analyst_Intern_Nikhil_Kumar_February2026[[#This Row],[Del Days]]&gt;15,"Slow")</f>
        <v>Slow</v>
      </c>
      <c r="AB326" t="s">
        <v>34</v>
      </c>
      <c r="AC326">
        <f>IF(Data_Analyst_Intern_Nikhil_Kumar_February2026[[#This Row],[Status]]="RTO", 1,0)</f>
        <v>0</v>
      </c>
      <c r="AD326">
        <f>IF(Data_Analyst_Intern_Nikhil_Kumar_February2026[[#This Row],[Status]]="Delivered",1,0)</f>
        <v>1</v>
      </c>
      <c r="AE326" t="s">
        <v>47</v>
      </c>
      <c r="AF326">
        <f>IF(AND(Data_Analyst_Intern_Nikhil_Kumar_February2026[[#This Row],[Status]]="Delivered",Data_Analyst_Intern_Nikhil_Kumar_February2026[[#This Row],[Return?]]="Yes"),1,0)</f>
        <v>1</v>
      </c>
      <c r="AG326" t="s">
        <v>139</v>
      </c>
      <c r="AH326" s="1">
        <v>45703</v>
      </c>
      <c r="AI326" t="s">
        <v>49</v>
      </c>
    </row>
    <row r="327" spans="1:35" x14ac:dyDescent="0.3">
      <c r="A327" t="s">
        <v>1397</v>
      </c>
      <c r="B327" s="1">
        <v>45652</v>
      </c>
      <c r="C327" s="1" t="str">
        <f>TEXT(Data_Analyst_Intern_Nikhil_Kumar_February2026[[#This Row],[Order Date]], "mmmm")</f>
        <v>December</v>
      </c>
      <c r="D327" s="23">
        <f>WEEKNUM(Data_Analyst_Intern_Nikhil_Kumar_February2026[[#This Row],[Order Date]],2)</f>
        <v>52</v>
      </c>
      <c r="E327" s="23" t="str">
        <f>TEXT(Data_Analyst_Intern_Nikhil_Kumar_February2026[[#This Row],[Order Date]],"dddd")</f>
        <v>Thursday</v>
      </c>
      <c r="F327" s="1">
        <v>45649</v>
      </c>
      <c r="G327" s="23" t="str">
        <f>TEXT(WEEKDAY(Data_Analyst_Intern_Nikhil_Kumar_February2026[[#This Row],[Order Date]],2), "dddd")</f>
        <v>Wednesday</v>
      </c>
      <c r="H327" t="s">
        <v>1398</v>
      </c>
      <c r="I327" t="s">
        <v>25</v>
      </c>
      <c r="J327" t="s">
        <v>1399</v>
      </c>
      <c r="K327" t="s">
        <v>41</v>
      </c>
      <c r="L327" t="s">
        <v>1400</v>
      </c>
      <c r="M327" s="2">
        <v>2999</v>
      </c>
      <c r="N327">
        <v>1</v>
      </c>
      <c r="O327" s="2">
        <v>2999</v>
      </c>
      <c r="P327" t="s">
        <v>29</v>
      </c>
      <c r="Q327">
        <v>0</v>
      </c>
      <c r="R327" s="4">
        <f>IFERROR(Data_Analyst_Intern_Nikhil_Kumar_February2026[[#This Row],[Total]]/Data_Analyst_Intern_Nikhil_Kumar_February2026[[#This Row],[Discount(%)]],0)</f>
        <v>0</v>
      </c>
      <c r="S327" s="2">
        <f>Data_Analyst_Intern_Nikhil_Kumar_February2026[[#This Row],[Total]]-Data_Analyst_Intern_Nikhil_Kumar_February2026[[#This Row],[Discount Amount]]</f>
        <v>2999</v>
      </c>
      <c r="T327" t="s">
        <v>44</v>
      </c>
      <c r="U327" t="s">
        <v>45</v>
      </c>
      <c r="V327" t="s">
        <v>182</v>
      </c>
      <c r="W327" t="s">
        <v>183</v>
      </c>
      <c r="X327" t="s">
        <v>57</v>
      </c>
      <c r="Y327" s="1">
        <v>45677</v>
      </c>
      <c r="Z327" s="3">
        <f>Data_Analyst_Intern_Nikhil_Kumar_February2026[[#This Row],[Del Date]]-Data_Analyst_Intern_Nikhil_Kumar_February2026[[#This Row],[Order Date]]</f>
        <v>25</v>
      </c>
      <c r="AA327" s="3" t="str" cm="1">
        <f t="array" ref="AA327">_xlfn.IFS(Data_Analyst_Intern_Nikhil_Kumar_February2026[[#This Row],[Del Days]]&lt;=7,"Fast",Data_Analyst_Intern_Nikhil_Kumar_February2026[[#This Row],[Del Days]]&lt;=15,"Standard",Data_Analyst_Intern_Nikhil_Kumar_February2026[[#This Row],[Del Days]]&gt;15,"Slow")</f>
        <v>Slow</v>
      </c>
      <c r="AB327" t="s">
        <v>34</v>
      </c>
      <c r="AC327">
        <f>IF(Data_Analyst_Intern_Nikhil_Kumar_February2026[[#This Row],[Status]]="RTO", 1,0)</f>
        <v>0</v>
      </c>
      <c r="AD327">
        <f>IF(Data_Analyst_Intern_Nikhil_Kumar_February2026[[#This Row],[Status]]="Delivered",1,0)</f>
        <v>1</v>
      </c>
      <c r="AE327" t="s">
        <v>47</v>
      </c>
      <c r="AF327">
        <f>IF(AND(Data_Analyst_Intern_Nikhil_Kumar_February2026[[#This Row],[Status]]="Delivered",Data_Analyst_Intern_Nikhil_Kumar_February2026[[#This Row],[Return?]]="Yes"),1,0)</f>
        <v>1</v>
      </c>
      <c r="AG327" t="s">
        <v>48</v>
      </c>
      <c r="AH327" s="1">
        <v>45705</v>
      </c>
      <c r="AI327" t="s">
        <v>49</v>
      </c>
    </row>
    <row r="328" spans="1:35" x14ac:dyDescent="0.3">
      <c r="A328" t="s">
        <v>1401</v>
      </c>
      <c r="B328" s="1">
        <v>45652</v>
      </c>
      <c r="C328" s="1" t="str">
        <f>TEXT(Data_Analyst_Intern_Nikhil_Kumar_February2026[[#This Row],[Order Date]], "mmmm")</f>
        <v>December</v>
      </c>
      <c r="D328" s="23">
        <f>WEEKNUM(Data_Analyst_Intern_Nikhil_Kumar_February2026[[#This Row],[Order Date]],2)</f>
        <v>52</v>
      </c>
      <c r="E328" s="23" t="str">
        <f>TEXT(Data_Analyst_Intern_Nikhil_Kumar_February2026[[#This Row],[Order Date]],"dddd")</f>
        <v>Thursday</v>
      </c>
      <c r="F328" s="1">
        <v>45649</v>
      </c>
      <c r="G328" s="23" t="str">
        <f>TEXT(WEEKDAY(Data_Analyst_Intern_Nikhil_Kumar_February2026[[#This Row],[Order Date]],2), "dddd")</f>
        <v>Wednesday</v>
      </c>
      <c r="H328" t="s">
        <v>1402</v>
      </c>
      <c r="I328" t="s">
        <v>25</v>
      </c>
      <c r="J328" t="s">
        <v>1403</v>
      </c>
      <c r="K328" t="s">
        <v>54</v>
      </c>
      <c r="L328" t="s">
        <v>1404</v>
      </c>
      <c r="M328" s="2">
        <v>2199</v>
      </c>
      <c r="N328">
        <v>1</v>
      </c>
      <c r="O328" s="2">
        <v>2199</v>
      </c>
      <c r="P328" t="s">
        <v>29</v>
      </c>
      <c r="Q328">
        <v>0</v>
      </c>
      <c r="R328" s="4">
        <f>IFERROR(Data_Analyst_Intern_Nikhil_Kumar_February2026[[#This Row],[Total]]/Data_Analyst_Intern_Nikhil_Kumar_February2026[[#This Row],[Discount(%)]],0)</f>
        <v>0</v>
      </c>
      <c r="S328" s="2">
        <f>Data_Analyst_Intern_Nikhil_Kumar_February2026[[#This Row],[Total]]-Data_Analyst_Intern_Nikhil_Kumar_February2026[[#This Row],[Discount Amount]]</f>
        <v>2199</v>
      </c>
      <c r="T328" t="s">
        <v>30</v>
      </c>
      <c r="U328" t="s">
        <v>66</v>
      </c>
      <c r="V328" t="s">
        <v>188</v>
      </c>
      <c r="W328" t="s">
        <v>189</v>
      </c>
      <c r="X328" t="s">
        <v>57</v>
      </c>
      <c r="Y328" s="1">
        <v>45677</v>
      </c>
      <c r="Z328" s="3">
        <f>Data_Analyst_Intern_Nikhil_Kumar_February2026[[#This Row],[Del Date]]-Data_Analyst_Intern_Nikhil_Kumar_February2026[[#This Row],[Order Date]]</f>
        <v>25</v>
      </c>
      <c r="AA328" s="3" t="str" cm="1">
        <f t="array" ref="AA328">_xlfn.IFS(Data_Analyst_Intern_Nikhil_Kumar_February2026[[#This Row],[Del Days]]&lt;=7,"Fast",Data_Analyst_Intern_Nikhil_Kumar_February2026[[#This Row],[Del Days]]&lt;=15,"Standard",Data_Analyst_Intern_Nikhil_Kumar_February2026[[#This Row],[Del Days]]&gt;15,"Slow")</f>
        <v>Slow</v>
      </c>
      <c r="AB328" t="s">
        <v>34</v>
      </c>
      <c r="AC328">
        <f>IF(Data_Analyst_Intern_Nikhil_Kumar_February2026[[#This Row],[Status]]="RTO", 1,0)</f>
        <v>0</v>
      </c>
      <c r="AD328">
        <f>IF(Data_Analyst_Intern_Nikhil_Kumar_February2026[[#This Row],[Status]]="Delivered",1,0)</f>
        <v>1</v>
      </c>
      <c r="AE328" t="s">
        <v>35</v>
      </c>
      <c r="AF328">
        <f>IF(AND(Data_Analyst_Intern_Nikhil_Kumar_February2026[[#This Row],[Status]]="Delivered",Data_Analyst_Intern_Nikhil_Kumar_February2026[[#This Row],[Return?]]="Yes"),1,0)</f>
        <v>0</v>
      </c>
      <c r="AG328" t="s">
        <v>29</v>
      </c>
      <c r="AI328" t="s">
        <v>36</v>
      </c>
    </row>
    <row r="329" spans="1:35" x14ac:dyDescent="0.3">
      <c r="A329" t="s">
        <v>1405</v>
      </c>
      <c r="B329" s="1">
        <v>45652</v>
      </c>
      <c r="C329" s="1" t="str">
        <f>TEXT(Data_Analyst_Intern_Nikhil_Kumar_February2026[[#This Row],[Order Date]], "mmmm")</f>
        <v>December</v>
      </c>
      <c r="D329" s="23">
        <f>WEEKNUM(Data_Analyst_Intern_Nikhil_Kumar_February2026[[#This Row],[Order Date]],2)</f>
        <v>52</v>
      </c>
      <c r="E329" s="23" t="str">
        <f>TEXT(Data_Analyst_Intern_Nikhil_Kumar_February2026[[#This Row],[Order Date]],"dddd")</f>
        <v>Thursday</v>
      </c>
      <c r="F329" s="1">
        <v>45649</v>
      </c>
      <c r="G329" s="23" t="str">
        <f>TEXT(WEEKDAY(Data_Analyst_Intern_Nikhil_Kumar_February2026[[#This Row],[Order Date]],2), "dddd")</f>
        <v>Wednesday</v>
      </c>
      <c r="H329" t="s">
        <v>1406</v>
      </c>
      <c r="I329" t="s">
        <v>25</v>
      </c>
      <c r="J329" t="s">
        <v>1407</v>
      </c>
      <c r="K329" t="s">
        <v>62</v>
      </c>
      <c r="L329" t="s">
        <v>1408</v>
      </c>
      <c r="M329" s="2">
        <v>5999</v>
      </c>
      <c r="N329">
        <v>1</v>
      </c>
      <c r="O329" s="2">
        <v>5999</v>
      </c>
      <c r="P329" t="s">
        <v>995</v>
      </c>
      <c r="Q329">
        <v>20</v>
      </c>
      <c r="R329" s="4">
        <f>IFERROR(Data_Analyst_Intern_Nikhil_Kumar_February2026[[#This Row],[Total]]/Data_Analyst_Intern_Nikhil_Kumar_February2026[[#This Row],[Discount(%)]],0)</f>
        <v>299.95</v>
      </c>
      <c r="S329" s="2">
        <f>Data_Analyst_Intern_Nikhil_Kumar_February2026[[#This Row],[Total]]-Data_Analyst_Intern_Nikhil_Kumar_February2026[[#This Row],[Discount Amount]]</f>
        <v>5699.05</v>
      </c>
      <c r="T329" t="s">
        <v>56</v>
      </c>
      <c r="U329" t="s">
        <v>31</v>
      </c>
      <c r="V329" t="s">
        <v>194</v>
      </c>
      <c r="W329" t="s">
        <v>183</v>
      </c>
      <c r="X329" t="s">
        <v>57</v>
      </c>
      <c r="Y329" s="1">
        <v>45678</v>
      </c>
      <c r="Z329" s="3">
        <f>Data_Analyst_Intern_Nikhil_Kumar_February2026[[#This Row],[Del Date]]-Data_Analyst_Intern_Nikhil_Kumar_February2026[[#This Row],[Order Date]]</f>
        <v>26</v>
      </c>
      <c r="AA329" s="3" t="str" cm="1">
        <f t="array" ref="AA329">_xlfn.IFS(Data_Analyst_Intern_Nikhil_Kumar_February2026[[#This Row],[Del Days]]&lt;=7,"Fast",Data_Analyst_Intern_Nikhil_Kumar_February2026[[#This Row],[Del Days]]&lt;=15,"Standard",Data_Analyst_Intern_Nikhil_Kumar_February2026[[#This Row],[Del Days]]&gt;15,"Slow")</f>
        <v>Slow</v>
      </c>
      <c r="AB329" t="s">
        <v>34</v>
      </c>
      <c r="AC329">
        <f>IF(Data_Analyst_Intern_Nikhil_Kumar_February2026[[#This Row],[Status]]="RTO", 1,0)</f>
        <v>0</v>
      </c>
      <c r="AD329">
        <f>IF(Data_Analyst_Intern_Nikhil_Kumar_February2026[[#This Row],[Status]]="Delivered",1,0)</f>
        <v>1</v>
      </c>
      <c r="AE329" t="s">
        <v>47</v>
      </c>
      <c r="AF329">
        <f>IF(AND(Data_Analyst_Intern_Nikhil_Kumar_February2026[[#This Row],[Status]]="Delivered",Data_Analyst_Intern_Nikhil_Kumar_February2026[[#This Row],[Return?]]="Yes"),1,0)</f>
        <v>1</v>
      </c>
      <c r="AG329" t="s">
        <v>80</v>
      </c>
      <c r="AH329" s="1">
        <v>45706</v>
      </c>
      <c r="AI329" t="s">
        <v>49</v>
      </c>
    </row>
    <row r="330" spans="1:35" x14ac:dyDescent="0.3">
      <c r="A330" t="s">
        <v>1409</v>
      </c>
      <c r="B330" s="1">
        <v>45652</v>
      </c>
      <c r="C330" s="1" t="str">
        <f>TEXT(Data_Analyst_Intern_Nikhil_Kumar_February2026[[#This Row],[Order Date]], "mmmm")</f>
        <v>December</v>
      </c>
      <c r="D330" s="23">
        <f>WEEKNUM(Data_Analyst_Intern_Nikhil_Kumar_February2026[[#This Row],[Order Date]],2)</f>
        <v>52</v>
      </c>
      <c r="E330" s="23" t="str">
        <f>TEXT(Data_Analyst_Intern_Nikhil_Kumar_February2026[[#This Row],[Order Date]],"dddd")</f>
        <v>Thursday</v>
      </c>
      <c r="F330" s="1">
        <v>45649</v>
      </c>
      <c r="G330" s="23" t="str">
        <f>TEXT(WEEKDAY(Data_Analyst_Intern_Nikhil_Kumar_February2026[[#This Row],[Order Date]],2), "dddd")</f>
        <v>Wednesday</v>
      </c>
      <c r="H330" t="s">
        <v>1410</v>
      </c>
      <c r="I330" t="s">
        <v>39</v>
      </c>
      <c r="J330" t="s">
        <v>1411</v>
      </c>
      <c r="K330" t="s">
        <v>72</v>
      </c>
      <c r="L330" t="s">
        <v>1412</v>
      </c>
      <c r="M330" s="2">
        <v>1299</v>
      </c>
      <c r="N330">
        <v>1</v>
      </c>
      <c r="O330" s="2">
        <v>1299</v>
      </c>
      <c r="P330" t="s">
        <v>29</v>
      </c>
      <c r="Q330">
        <v>0</v>
      </c>
      <c r="R330" s="4">
        <f>IFERROR(Data_Analyst_Intern_Nikhil_Kumar_February2026[[#This Row],[Total]]/Data_Analyst_Intern_Nikhil_Kumar_February2026[[#This Row],[Discount(%)]],0)</f>
        <v>0</v>
      </c>
      <c r="S330" s="2">
        <f>Data_Analyst_Intern_Nikhil_Kumar_February2026[[#This Row],[Total]]-Data_Analyst_Intern_Nikhil_Kumar_February2026[[#This Row],[Discount Amount]]</f>
        <v>1299</v>
      </c>
      <c r="T330" t="s">
        <v>112</v>
      </c>
      <c r="U330" t="s">
        <v>45</v>
      </c>
      <c r="V330" t="s">
        <v>199</v>
      </c>
      <c r="W330" t="s">
        <v>58</v>
      </c>
      <c r="X330" t="s">
        <v>57</v>
      </c>
      <c r="Y330" s="1">
        <v>45677</v>
      </c>
      <c r="Z330" s="3">
        <f>Data_Analyst_Intern_Nikhil_Kumar_February2026[[#This Row],[Del Date]]-Data_Analyst_Intern_Nikhil_Kumar_February2026[[#This Row],[Order Date]]</f>
        <v>25</v>
      </c>
      <c r="AA330" s="3" t="str" cm="1">
        <f t="array" ref="AA330">_xlfn.IFS(Data_Analyst_Intern_Nikhil_Kumar_February2026[[#This Row],[Del Days]]&lt;=7,"Fast",Data_Analyst_Intern_Nikhil_Kumar_February2026[[#This Row],[Del Days]]&lt;=15,"Standard",Data_Analyst_Intern_Nikhil_Kumar_February2026[[#This Row],[Del Days]]&gt;15,"Slow")</f>
        <v>Slow</v>
      </c>
      <c r="AB330" t="s">
        <v>34</v>
      </c>
      <c r="AC330">
        <f>IF(Data_Analyst_Intern_Nikhil_Kumar_February2026[[#This Row],[Status]]="RTO", 1,0)</f>
        <v>0</v>
      </c>
      <c r="AD330">
        <f>IF(Data_Analyst_Intern_Nikhil_Kumar_February2026[[#This Row],[Status]]="Delivered",1,0)</f>
        <v>1</v>
      </c>
      <c r="AE330" t="s">
        <v>47</v>
      </c>
      <c r="AF330">
        <f>IF(AND(Data_Analyst_Intern_Nikhil_Kumar_February2026[[#This Row],[Status]]="Delivered",Data_Analyst_Intern_Nikhil_Kumar_February2026[[#This Row],[Return?]]="Yes"),1,0)</f>
        <v>1</v>
      </c>
      <c r="AG330" t="s">
        <v>69</v>
      </c>
      <c r="AH330" s="1">
        <v>45704</v>
      </c>
      <c r="AI330" t="s">
        <v>49</v>
      </c>
    </row>
    <row r="331" spans="1:35" x14ac:dyDescent="0.3">
      <c r="A331" t="s">
        <v>1413</v>
      </c>
      <c r="B331" s="1">
        <v>45653</v>
      </c>
      <c r="C331" s="1" t="str">
        <f>TEXT(Data_Analyst_Intern_Nikhil_Kumar_February2026[[#This Row],[Order Date]], "mmmm")</f>
        <v>December</v>
      </c>
      <c r="D331" s="23">
        <f>WEEKNUM(Data_Analyst_Intern_Nikhil_Kumar_February2026[[#This Row],[Order Date]],2)</f>
        <v>52</v>
      </c>
      <c r="E331" s="23" t="str">
        <f>TEXT(Data_Analyst_Intern_Nikhil_Kumar_February2026[[#This Row],[Order Date]],"dddd")</f>
        <v>Friday</v>
      </c>
      <c r="F331" s="1">
        <v>45649</v>
      </c>
      <c r="G331" s="23" t="str">
        <f>TEXT(WEEKDAY(Data_Analyst_Intern_Nikhil_Kumar_February2026[[#This Row],[Order Date]],2), "dddd")</f>
        <v>Thursday</v>
      </c>
      <c r="H331" t="s">
        <v>1414</v>
      </c>
      <c r="I331" t="s">
        <v>25</v>
      </c>
      <c r="J331" t="s">
        <v>1415</v>
      </c>
      <c r="K331" t="s">
        <v>27</v>
      </c>
      <c r="L331" t="s">
        <v>1416</v>
      </c>
      <c r="M331" s="2">
        <v>999</v>
      </c>
      <c r="N331">
        <v>2</v>
      </c>
      <c r="O331" s="2">
        <v>1998</v>
      </c>
      <c r="P331" t="s">
        <v>29</v>
      </c>
      <c r="Q331">
        <v>0</v>
      </c>
      <c r="R331" s="4">
        <f>IFERROR(Data_Analyst_Intern_Nikhil_Kumar_February2026[[#This Row],[Total]]/Data_Analyst_Intern_Nikhil_Kumar_February2026[[#This Row],[Discount(%)]],0)</f>
        <v>0</v>
      </c>
      <c r="S331" s="2">
        <f>Data_Analyst_Intern_Nikhil_Kumar_February2026[[#This Row],[Total]]-Data_Analyst_Intern_Nikhil_Kumar_February2026[[#This Row],[Discount Amount]]</f>
        <v>1998</v>
      </c>
      <c r="T331" t="s">
        <v>65</v>
      </c>
      <c r="U331" t="s">
        <v>66</v>
      </c>
      <c r="V331" t="s">
        <v>204</v>
      </c>
      <c r="W331" t="s">
        <v>98</v>
      </c>
      <c r="X331" t="s">
        <v>32</v>
      </c>
      <c r="Y331" s="1">
        <v>45678</v>
      </c>
      <c r="Z331" s="3">
        <f>Data_Analyst_Intern_Nikhil_Kumar_February2026[[#This Row],[Del Date]]-Data_Analyst_Intern_Nikhil_Kumar_February2026[[#This Row],[Order Date]]</f>
        <v>25</v>
      </c>
      <c r="AA331" s="3" t="str" cm="1">
        <f t="array" ref="AA331">_xlfn.IFS(Data_Analyst_Intern_Nikhil_Kumar_February2026[[#This Row],[Del Days]]&lt;=7,"Fast",Data_Analyst_Intern_Nikhil_Kumar_February2026[[#This Row],[Del Days]]&lt;=15,"Standard",Data_Analyst_Intern_Nikhil_Kumar_February2026[[#This Row],[Del Days]]&gt;15,"Slow")</f>
        <v>Slow</v>
      </c>
      <c r="AB331" t="s">
        <v>34</v>
      </c>
      <c r="AC331">
        <f>IF(Data_Analyst_Intern_Nikhil_Kumar_February2026[[#This Row],[Status]]="RTO", 1,0)</f>
        <v>0</v>
      </c>
      <c r="AD331">
        <f>IF(Data_Analyst_Intern_Nikhil_Kumar_February2026[[#This Row],[Status]]="Delivered",1,0)</f>
        <v>1</v>
      </c>
      <c r="AE331" t="s">
        <v>35</v>
      </c>
      <c r="AF331">
        <f>IF(AND(Data_Analyst_Intern_Nikhil_Kumar_February2026[[#This Row],[Status]]="Delivered",Data_Analyst_Intern_Nikhil_Kumar_February2026[[#This Row],[Return?]]="Yes"),1,0)</f>
        <v>0</v>
      </c>
      <c r="AG331" t="s">
        <v>29</v>
      </c>
      <c r="AI331" t="s">
        <v>36</v>
      </c>
    </row>
    <row r="332" spans="1:35" x14ac:dyDescent="0.3">
      <c r="A332" t="s">
        <v>1417</v>
      </c>
      <c r="B332" s="1">
        <v>45653</v>
      </c>
      <c r="C332" s="1" t="str">
        <f>TEXT(Data_Analyst_Intern_Nikhil_Kumar_February2026[[#This Row],[Order Date]], "mmmm")</f>
        <v>December</v>
      </c>
      <c r="D332" s="23">
        <f>WEEKNUM(Data_Analyst_Intern_Nikhil_Kumar_February2026[[#This Row],[Order Date]],2)</f>
        <v>52</v>
      </c>
      <c r="E332" s="23" t="str">
        <f>TEXT(Data_Analyst_Intern_Nikhil_Kumar_February2026[[#This Row],[Order Date]],"dddd")</f>
        <v>Friday</v>
      </c>
      <c r="F332" s="1">
        <v>45649</v>
      </c>
      <c r="G332" s="23" t="str">
        <f>TEXT(WEEKDAY(Data_Analyst_Intern_Nikhil_Kumar_February2026[[#This Row],[Order Date]],2), "dddd")</f>
        <v>Thursday</v>
      </c>
      <c r="H332" t="s">
        <v>1418</v>
      </c>
      <c r="I332" t="s">
        <v>25</v>
      </c>
      <c r="J332" t="s">
        <v>1419</v>
      </c>
      <c r="K332" t="s">
        <v>41</v>
      </c>
      <c r="L332" t="s">
        <v>1420</v>
      </c>
      <c r="M332" s="2">
        <v>3499</v>
      </c>
      <c r="N332">
        <v>1</v>
      </c>
      <c r="O332" s="2">
        <v>3499</v>
      </c>
      <c r="P332" t="s">
        <v>995</v>
      </c>
      <c r="Q332">
        <v>20</v>
      </c>
      <c r="R332" s="4">
        <f>IFERROR(Data_Analyst_Intern_Nikhil_Kumar_February2026[[#This Row],[Total]]/Data_Analyst_Intern_Nikhil_Kumar_February2026[[#This Row],[Discount(%)]],0)</f>
        <v>174.95</v>
      </c>
      <c r="S332" s="2">
        <f>Data_Analyst_Intern_Nikhil_Kumar_February2026[[#This Row],[Total]]-Data_Analyst_Intern_Nikhil_Kumar_February2026[[#This Row],[Discount Amount]]</f>
        <v>3324.05</v>
      </c>
      <c r="T332" t="s">
        <v>44</v>
      </c>
      <c r="U332" t="s">
        <v>31</v>
      </c>
      <c r="V332" t="s">
        <v>209</v>
      </c>
      <c r="W332" t="s">
        <v>98</v>
      </c>
      <c r="X332" t="s">
        <v>32</v>
      </c>
      <c r="Y332" s="1">
        <v>45679</v>
      </c>
      <c r="Z332" s="3">
        <f>Data_Analyst_Intern_Nikhil_Kumar_February2026[[#This Row],[Del Date]]-Data_Analyst_Intern_Nikhil_Kumar_February2026[[#This Row],[Order Date]]</f>
        <v>26</v>
      </c>
      <c r="AA332" s="3" t="str" cm="1">
        <f t="array" ref="AA332">_xlfn.IFS(Data_Analyst_Intern_Nikhil_Kumar_February2026[[#This Row],[Del Days]]&lt;=7,"Fast",Data_Analyst_Intern_Nikhil_Kumar_February2026[[#This Row],[Del Days]]&lt;=15,"Standard",Data_Analyst_Intern_Nikhil_Kumar_February2026[[#This Row],[Del Days]]&gt;15,"Slow")</f>
        <v>Slow</v>
      </c>
      <c r="AB332" t="s">
        <v>34</v>
      </c>
      <c r="AC332">
        <f>IF(Data_Analyst_Intern_Nikhil_Kumar_February2026[[#This Row],[Status]]="RTO", 1,0)</f>
        <v>0</v>
      </c>
      <c r="AD332">
        <f>IF(Data_Analyst_Intern_Nikhil_Kumar_February2026[[#This Row],[Status]]="Delivered",1,0)</f>
        <v>1</v>
      </c>
      <c r="AE332" t="s">
        <v>47</v>
      </c>
      <c r="AF332">
        <f>IF(AND(Data_Analyst_Intern_Nikhil_Kumar_February2026[[#This Row],[Status]]="Delivered",Data_Analyst_Intern_Nikhil_Kumar_February2026[[#This Row],[Return?]]="Yes"),1,0)</f>
        <v>1</v>
      </c>
      <c r="AG332" t="s">
        <v>48</v>
      </c>
      <c r="AH332" s="1">
        <v>45707</v>
      </c>
      <c r="AI332" t="s">
        <v>49</v>
      </c>
    </row>
    <row r="333" spans="1:35" x14ac:dyDescent="0.3">
      <c r="A333" t="s">
        <v>1421</v>
      </c>
      <c r="B333" s="1">
        <v>45653</v>
      </c>
      <c r="C333" s="1" t="str">
        <f>TEXT(Data_Analyst_Intern_Nikhil_Kumar_February2026[[#This Row],[Order Date]], "mmmm")</f>
        <v>December</v>
      </c>
      <c r="D333" s="23">
        <f>WEEKNUM(Data_Analyst_Intern_Nikhil_Kumar_February2026[[#This Row],[Order Date]],2)</f>
        <v>52</v>
      </c>
      <c r="E333" s="23" t="str">
        <f>TEXT(Data_Analyst_Intern_Nikhil_Kumar_February2026[[#This Row],[Order Date]],"dddd")</f>
        <v>Friday</v>
      </c>
      <c r="F333" s="1">
        <v>45649</v>
      </c>
      <c r="G333" s="23" t="str">
        <f>TEXT(WEEKDAY(Data_Analyst_Intern_Nikhil_Kumar_February2026[[#This Row],[Order Date]],2), "dddd")</f>
        <v>Thursday</v>
      </c>
      <c r="H333" t="s">
        <v>1422</v>
      </c>
      <c r="I333" t="s">
        <v>25</v>
      </c>
      <c r="J333" t="s">
        <v>1423</v>
      </c>
      <c r="K333" t="s">
        <v>54</v>
      </c>
      <c r="L333" t="s">
        <v>1424</v>
      </c>
      <c r="M333" s="2">
        <v>1799</v>
      </c>
      <c r="N333">
        <v>1</v>
      </c>
      <c r="O333" s="2">
        <v>1799</v>
      </c>
      <c r="P333" t="s">
        <v>29</v>
      </c>
      <c r="Q333">
        <v>0</v>
      </c>
      <c r="R333" s="4">
        <f>IFERROR(Data_Analyst_Intern_Nikhil_Kumar_February2026[[#This Row],[Total]]/Data_Analyst_Intern_Nikhil_Kumar_February2026[[#This Row],[Discount(%)]],0)</f>
        <v>0</v>
      </c>
      <c r="S333" s="2">
        <f>Data_Analyst_Intern_Nikhil_Kumar_February2026[[#This Row],[Total]]-Data_Analyst_Intern_Nikhil_Kumar_February2026[[#This Row],[Discount Amount]]</f>
        <v>1799</v>
      </c>
      <c r="T333" t="s">
        <v>30</v>
      </c>
      <c r="U333" t="s">
        <v>45</v>
      </c>
      <c r="V333" t="s">
        <v>214</v>
      </c>
      <c r="W333" t="s">
        <v>114</v>
      </c>
      <c r="X333" t="s">
        <v>46</v>
      </c>
      <c r="Y333" s="1">
        <v>45679</v>
      </c>
      <c r="Z333" s="3">
        <f>Data_Analyst_Intern_Nikhil_Kumar_February2026[[#This Row],[Del Date]]-Data_Analyst_Intern_Nikhil_Kumar_February2026[[#This Row],[Order Date]]</f>
        <v>26</v>
      </c>
      <c r="AA333" s="3" t="str" cm="1">
        <f t="array" ref="AA333">_xlfn.IFS(Data_Analyst_Intern_Nikhil_Kumar_February2026[[#This Row],[Del Days]]&lt;=7,"Fast",Data_Analyst_Intern_Nikhil_Kumar_February2026[[#This Row],[Del Days]]&lt;=15,"Standard",Data_Analyst_Intern_Nikhil_Kumar_February2026[[#This Row],[Del Days]]&gt;15,"Slow")</f>
        <v>Slow</v>
      </c>
      <c r="AB333" t="s">
        <v>34</v>
      </c>
      <c r="AC333">
        <f>IF(Data_Analyst_Intern_Nikhil_Kumar_February2026[[#This Row],[Status]]="RTO", 1,0)</f>
        <v>0</v>
      </c>
      <c r="AD333">
        <f>IF(Data_Analyst_Intern_Nikhil_Kumar_February2026[[#This Row],[Status]]="Delivered",1,0)</f>
        <v>1</v>
      </c>
      <c r="AE333" t="s">
        <v>35</v>
      </c>
      <c r="AF333">
        <f>IF(AND(Data_Analyst_Intern_Nikhil_Kumar_February2026[[#This Row],[Status]]="Delivered",Data_Analyst_Intern_Nikhil_Kumar_February2026[[#This Row],[Return?]]="Yes"),1,0)</f>
        <v>0</v>
      </c>
      <c r="AG333" t="s">
        <v>29</v>
      </c>
      <c r="AI333" t="s">
        <v>36</v>
      </c>
    </row>
    <row r="334" spans="1:35" x14ac:dyDescent="0.3">
      <c r="A334" t="s">
        <v>1425</v>
      </c>
      <c r="B334" s="1">
        <v>45653</v>
      </c>
      <c r="C334" s="1" t="str">
        <f>TEXT(Data_Analyst_Intern_Nikhil_Kumar_February2026[[#This Row],[Order Date]], "mmmm")</f>
        <v>December</v>
      </c>
      <c r="D334" s="23">
        <f>WEEKNUM(Data_Analyst_Intern_Nikhil_Kumar_February2026[[#This Row],[Order Date]],2)</f>
        <v>52</v>
      </c>
      <c r="E334" s="23" t="str">
        <f>TEXT(Data_Analyst_Intern_Nikhil_Kumar_February2026[[#This Row],[Order Date]],"dddd")</f>
        <v>Friday</v>
      </c>
      <c r="F334" s="1">
        <v>45649</v>
      </c>
      <c r="G334" s="23" t="str">
        <f>TEXT(WEEKDAY(Data_Analyst_Intern_Nikhil_Kumar_February2026[[#This Row],[Order Date]],2), "dddd")</f>
        <v>Thursday</v>
      </c>
      <c r="H334" t="s">
        <v>1426</v>
      </c>
      <c r="I334" t="s">
        <v>25</v>
      </c>
      <c r="J334" t="s">
        <v>1427</v>
      </c>
      <c r="K334" t="s">
        <v>62</v>
      </c>
      <c r="L334" t="s">
        <v>1428</v>
      </c>
      <c r="M334" s="2">
        <v>4599</v>
      </c>
      <c r="N334">
        <v>1</v>
      </c>
      <c r="O334" s="2">
        <v>4599</v>
      </c>
      <c r="P334" t="s">
        <v>29</v>
      </c>
      <c r="Q334">
        <v>0</v>
      </c>
      <c r="R334" s="4">
        <f>IFERROR(Data_Analyst_Intern_Nikhil_Kumar_February2026[[#This Row],[Total]]/Data_Analyst_Intern_Nikhil_Kumar_February2026[[#This Row],[Discount(%)]],0)</f>
        <v>0</v>
      </c>
      <c r="S334" s="2">
        <f>Data_Analyst_Intern_Nikhil_Kumar_February2026[[#This Row],[Total]]-Data_Analyst_Intern_Nikhil_Kumar_February2026[[#This Row],[Discount Amount]]</f>
        <v>4599</v>
      </c>
      <c r="T334" t="s">
        <v>56</v>
      </c>
      <c r="U334" t="s">
        <v>66</v>
      </c>
      <c r="V334" t="s">
        <v>32</v>
      </c>
      <c r="W334" t="s">
        <v>33</v>
      </c>
      <c r="X334" t="s">
        <v>32</v>
      </c>
      <c r="Y334" s="1">
        <v>45680</v>
      </c>
      <c r="Z334" s="3">
        <f>Data_Analyst_Intern_Nikhil_Kumar_February2026[[#This Row],[Del Date]]-Data_Analyst_Intern_Nikhil_Kumar_February2026[[#This Row],[Order Date]]</f>
        <v>27</v>
      </c>
      <c r="AA334" s="3" t="str" cm="1">
        <f t="array" ref="AA334">_xlfn.IFS(Data_Analyst_Intern_Nikhil_Kumar_February2026[[#This Row],[Del Days]]&lt;=7,"Fast",Data_Analyst_Intern_Nikhil_Kumar_February2026[[#This Row],[Del Days]]&lt;=15,"Standard",Data_Analyst_Intern_Nikhil_Kumar_February2026[[#This Row],[Del Days]]&gt;15,"Slow")</f>
        <v>Slow</v>
      </c>
      <c r="AB334" t="s">
        <v>34</v>
      </c>
      <c r="AC334">
        <f>IF(Data_Analyst_Intern_Nikhil_Kumar_February2026[[#This Row],[Status]]="RTO", 1,0)</f>
        <v>0</v>
      </c>
      <c r="AD334">
        <f>IF(Data_Analyst_Intern_Nikhil_Kumar_February2026[[#This Row],[Status]]="Delivered",1,0)</f>
        <v>1</v>
      </c>
      <c r="AE334" t="s">
        <v>47</v>
      </c>
      <c r="AF334">
        <f>IF(AND(Data_Analyst_Intern_Nikhil_Kumar_February2026[[#This Row],[Status]]="Delivered",Data_Analyst_Intern_Nikhil_Kumar_February2026[[#This Row],[Return?]]="Yes"),1,0)</f>
        <v>1</v>
      </c>
      <c r="AG334" t="s">
        <v>105</v>
      </c>
      <c r="AH334" s="1">
        <v>45708</v>
      </c>
      <c r="AI334" t="s">
        <v>49</v>
      </c>
    </row>
    <row r="335" spans="1:35" x14ac:dyDescent="0.3">
      <c r="A335" t="s">
        <v>1429</v>
      </c>
      <c r="B335" s="1">
        <v>45654</v>
      </c>
      <c r="C335" s="1" t="str">
        <f>TEXT(Data_Analyst_Intern_Nikhil_Kumar_February2026[[#This Row],[Order Date]], "mmmm")</f>
        <v>December</v>
      </c>
      <c r="D335" s="23">
        <f>WEEKNUM(Data_Analyst_Intern_Nikhil_Kumar_February2026[[#This Row],[Order Date]],2)</f>
        <v>52</v>
      </c>
      <c r="E335" s="23" t="str">
        <f>TEXT(Data_Analyst_Intern_Nikhil_Kumar_February2026[[#This Row],[Order Date]],"dddd")</f>
        <v>Saturday</v>
      </c>
      <c r="F335" s="1">
        <v>45649</v>
      </c>
      <c r="G335" s="23" t="str">
        <f>TEXT(WEEKDAY(Data_Analyst_Intern_Nikhil_Kumar_February2026[[#This Row],[Order Date]],2), "dddd")</f>
        <v>Friday</v>
      </c>
      <c r="H335" t="s">
        <v>1430</v>
      </c>
      <c r="I335" t="s">
        <v>39</v>
      </c>
      <c r="J335" t="s">
        <v>1431</v>
      </c>
      <c r="K335" t="s">
        <v>72</v>
      </c>
      <c r="L335" t="s">
        <v>1432</v>
      </c>
      <c r="M335" s="2">
        <v>799</v>
      </c>
      <c r="N335">
        <v>1</v>
      </c>
      <c r="O335" s="2">
        <v>799</v>
      </c>
      <c r="P335" t="s">
        <v>995</v>
      </c>
      <c r="Q335">
        <v>20</v>
      </c>
      <c r="R335" s="4">
        <f>IFERROR(Data_Analyst_Intern_Nikhil_Kumar_February2026[[#This Row],[Total]]/Data_Analyst_Intern_Nikhil_Kumar_February2026[[#This Row],[Discount(%)]],0)</f>
        <v>39.950000000000003</v>
      </c>
      <c r="S335" s="2">
        <f>Data_Analyst_Intern_Nikhil_Kumar_February2026[[#This Row],[Total]]-Data_Analyst_Intern_Nikhil_Kumar_February2026[[#This Row],[Discount Amount]]</f>
        <v>759.05</v>
      </c>
      <c r="T335" t="s">
        <v>112</v>
      </c>
      <c r="U335" t="s">
        <v>31</v>
      </c>
      <c r="V335" t="s">
        <v>46</v>
      </c>
      <c r="W335" t="s">
        <v>46</v>
      </c>
      <c r="X335" t="s">
        <v>46</v>
      </c>
      <c r="Y335" s="1">
        <v>45679</v>
      </c>
      <c r="Z335" s="3">
        <f>Data_Analyst_Intern_Nikhil_Kumar_February2026[[#This Row],[Del Date]]-Data_Analyst_Intern_Nikhil_Kumar_February2026[[#This Row],[Order Date]]</f>
        <v>25</v>
      </c>
      <c r="AA335" s="3" t="str" cm="1">
        <f t="array" ref="AA335">_xlfn.IFS(Data_Analyst_Intern_Nikhil_Kumar_February2026[[#This Row],[Del Days]]&lt;=7,"Fast",Data_Analyst_Intern_Nikhil_Kumar_February2026[[#This Row],[Del Days]]&lt;=15,"Standard",Data_Analyst_Intern_Nikhil_Kumar_February2026[[#This Row],[Del Days]]&gt;15,"Slow")</f>
        <v>Slow</v>
      </c>
      <c r="AB335" t="s">
        <v>34</v>
      </c>
      <c r="AC335">
        <f>IF(Data_Analyst_Intern_Nikhil_Kumar_February2026[[#This Row],[Status]]="RTO", 1,0)</f>
        <v>0</v>
      </c>
      <c r="AD335">
        <f>IF(Data_Analyst_Intern_Nikhil_Kumar_February2026[[#This Row],[Status]]="Delivered",1,0)</f>
        <v>1</v>
      </c>
      <c r="AE335" t="s">
        <v>35</v>
      </c>
      <c r="AF335">
        <f>IF(AND(Data_Analyst_Intern_Nikhil_Kumar_February2026[[#This Row],[Status]]="Delivered",Data_Analyst_Intern_Nikhil_Kumar_February2026[[#This Row],[Return?]]="Yes"),1,0)</f>
        <v>0</v>
      </c>
      <c r="AG335" t="s">
        <v>29</v>
      </c>
      <c r="AI335" t="s">
        <v>36</v>
      </c>
    </row>
    <row r="336" spans="1:35" x14ac:dyDescent="0.3">
      <c r="A336" t="s">
        <v>1433</v>
      </c>
      <c r="B336" s="1">
        <v>45654</v>
      </c>
      <c r="C336" s="1" t="str">
        <f>TEXT(Data_Analyst_Intern_Nikhil_Kumar_February2026[[#This Row],[Order Date]], "mmmm")</f>
        <v>December</v>
      </c>
      <c r="D336" s="23">
        <f>WEEKNUM(Data_Analyst_Intern_Nikhil_Kumar_February2026[[#This Row],[Order Date]],2)</f>
        <v>52</v>
      </c>
      <c r="E336" s="23" t="str">
        <f>TEXT(Data_Analyst_Intern_Nikhil_Kumar_February2026[[#This Row],[Order Date]],"dddd")</f>
        <v>Saturday</v>
      </c>
      <c r="F336" s="1">
        <v>45649</v>
      </c>
      <c r="G336" s="23" t="str">
        <f>TEXT(WEEKDAY(Data_Analyst_Intern_Nikhil_Kumar_February2026[[#This Row],[Order Date]],2), "dddd")</f>
        <v>Friday</v>
      </c>
      <c r="H336" t="s">
        <v>1434</v>
      </c>
      <c r="I336" t="s">
        <v>25</v>
      </c>
      <c r="J336" t="s">
        <v>1435</v>
      </c>
      <c r="K336" t="s">
        <v>27</v>
      </c>
      <c r="L336" t="s">
        <v>1436</v>
      </c>
      <c r="M336" s="2">
        <v>1899</v>
      </c>
      <c r="N336">
        <v>1</v>
      </c>
      <c r="O336" s="2">
        <v>1899</v>
      </c>
      <c r="P336" t="s">
        <v>29</v>
      </c>
      <c r="Q336">
        <v>0</v>
      </c>
      <c r="R336" s="4">
        <f>IFERROR(Data_Analyst_Intern_Nikhil_Kumar_February2026[[#This Row],[Total]]/Data_Analyst_Intern_Nikhil_Kumar_February2026[[#This Row],[Discount(%)]],0)</f>
        <v>0</v>
      </c>
      <c r="S336" s="2">
        <f>Data_Analyst_Intern_Nikhil_Kumar_February2026[[#This Row],[Total]]-Data_Analyst_Intern_Nikhil_Kumar_February2026[[#This Row],[Discount Amount]]</f>
        <v>1899</v>
      </c>
      <c r="T336" t="s">
        <v>65</v>
      </c>
      <c r="U336" t="s">
        <v>45</v>
      </c>
      <c r="V336" t="s">
        <v>91</v>
      </c>
      <c r="W336" t="s">
        <v>92</v>
      </c>
      <c r="X336" t="s">
        <v>46</v>
      </c>
      <c r="Y336" s="1">
        <v>45680</v>
      </c>
      <c r="Z336" s="3">
        <f>Data_Analyst_Intern_Nikhil_Kumar_February2026[[#This Row],[Del Date]]-Data_Analyst_Intern_Nikhil_Kumar_February2026[[#This Row],[Order Date]]</f>
        <v>26</v>
      </c>
      <c r="AA336" s="3" t="str" cm="1">
        <f t="array" ref="AA336">_xlfn.IFS(Data_Analyst_Intern_Nikhil_Kumar_February2026[[#This Row],[Del Days]]&lt;=7,"Fast",Data_Analyst_Intern_Nikhil_Kumar_February2026[[#This Row],[Del Days]]&lt;=15,"Standard",Data_Analyst_Intern_Nikhil_Kumar_February2026[[#This Row],[Del Days]]&gt;15,"Slow")</f>
        <v>Slow</v>
      </c>
      <c r="AB336" t="s">
        <v>34</v>
      </c>
      <c r="AC336">
        <f>IF(Data_Analyst_Intern_Nikhil_Kumar_February2026[[#This Row],[Status]]="RTO", 1,0)</f>
        <v>0</v>
      </c>
      <c r="AD336">
        <f>IF(Data_Analyst_Intern_Nikhil_Kumar_February2026[[#This Row],[Status]]="Delivered",1,0)</f>
        <v>1</v>
      </c>
      <c r="AE336" t="s">
        <v>47</v>
      </c>
      <c r="AF336">
        <f>IF(AND(Data_Analyst_Intern_Nikhil_Kumar_February2026[[#This Row],[Status]]="Delivered",Data_Analyst_Intern_Nikhil_Kumar_February2026[[#This Row],[Return?]]="Yes"),1,0)</f>
        <v>1</v>
      </c>
      <c r="AG336" t="s">
        <v>139</v>
      </c>
      <c r="AH336" s="1">
        <v>45707</v>
      </c>
      <c r="AI336" t="s">
        <v>49</v>
      </c>
    </row>
    <row r="337" spans="1:35" x14ac:dyDescent="0.3">
      <c r="A337" t="s">
        <v>1437</v>
      </c>
      <c r="B337" s="1">
        <v>45654</v>
      </c>
      <c r="C337" s="1" t="str">
        <f>TEXT(Data_Analyst_Intern_Nikhil_Kumar_February2026[[#This Row],[Order Date]], "mmmm")</f>
        <v>December</v>
      </c>
      <c r="D337" s="23">
        <f>WEEKNUM(Data_Analyst_Intern_Nikhil_Kumar_February2026[[#This Row],[Order Date]],2)</f>
        <v>52</v>
      </c>
      <c r="E337" s="23" t="str">
        <f>TEXT(Data_Analyst_Intern_Nikhil_Kumar_February2026[[#This Row],[Order Date]],"dddd")</f>
        <v>Saturday</v>
      </c>
      <c r="F337" s="1">
        <v>45649</v>
      </c>
      <c r="G337" s="23" t="str">
        <f>TEXT(WEEKDAY(Data_Analyst_Intern_Nikhil_Kumar_February2026[[#This Row],[Order Date]],2), "dddd")</f>
        <v>Friday</v>
      </c>
      <c r="H337" t="s">
        <v>1438</v>
      </c>
      <c r="I337" t="s">
        <v>25</v>
      </c>
      <c r="J337" t="s">
        <v>1439</v>
      </c>
      <c r="K337" t="s">
        <v>41</v>
      </c>
      <c r="L337" t="s">
        <v>1440</v>
      </c>
      <c r="M337" s="2">
        <v>4099</v>
      </c>
      <c r="N337">
        <v>1</v>
      </c>
      <c r="O337" s="2">
        <v>4099</v>
      </c>
      <c r="P337" t="s">
        <v>29</v>
      </c>
      <c r="Q337">
        <v>0</v>
      </c>
      <c r="R337" s="4">
        <f>IFERROR(Data_Analyst_Intern_Nikhil_Kumar_February2026[[#This Row],[Total]]/Data_Analyst_Intern_Nikhil_Kumar_February2026[[#This Row],[Discount(%)]],0)</f>
        <v>0</v>
      </c>
      <c r="S337" s="2">
        <f>Data_Analyst_Intern_Nikhil_Kumar_February2026[[#This Row],[Total]]-Data_Analyst_Intern_Nikhil_Kumar_February2026[[#This Row],[Discount Amount]]</f>
        <v>4099</v>
      </c>
      <c r="T337" t="s">
        <v>44</v>
      </c>
      <c r="U337" t="s">
        <v>66</v>
      </c>
      <c r="V337" t="s">
        <v>67</v>
      </c>
      <c r="W337" t="s">
        <v>68</v>
      </c>
      <c r="X337" t="s">
        <v>57</v>
      </c>
      <c r="Y337" s="1">
        <v>45681</v>
      </c>
      <c r="Z337" s="3">
        <f>Data_Analyst_Intern_Nikhil_Kumar_February2026[[#This Row],[Del Date]]-Data_Analyst_Intern_Nikhil_Kumar_February2026[[#This Row],[Order Date]]</f>
        <v>27</v>
      </c>
      <c r="AA337" s="3" t="str" cm="1">
        <f t="array" ref="AA337">_xlfn.IFS(Data_Analyst_Intern_Nikhil_Kumar_February2026[[#This Row],[Del Days]]&lt;=7,"Fast",Data_Analyst_Intern_Nikhil_Kumar_February2026[[#This Row],[Del Days]]&lt;=15,"Standard",Data_Analyst_Intern_Nikhil_Kumar_February2026[[#This Row],[Del Days]]&gt;15,"Slow")</f>
        <v>Slow</v>
      </c>
      <c r="AB337" t="s">
        <v>34</v>
      </c>
      <c r="AC337">
        <f>IF(Data_Analyst_Intern_Nikhil_Kumar_February2026[[#This Row],[Status]]="RTO", 1,0)</f>
        <v>0</v>
      </c>
      <c r="AD337">
        <f>IF(Data_Analyst_Intern_Nikhil_Kumar_February2026[[#This Row],[Status]]="Delivered",1,0)</f>
        <v>1</v>
      </c>
      <c r="AE337" t="s">
        <v>47</v>
      </c>
      <c r="AF337">
        <f>IF(AND(Data_Analyst_Intern_Nikhil_Kumar_February2026[[#This Row],[Status]]="Delivered",Data_Analyst_Intern_Nikhil_Kumar_February2026[[#This Row],[Return?]]="Yes"),1,0)</f>
        <v>1</v>
      </c>
      <c r="AG337" t="s">
        <v>48</v>
      </c>
      <c r="AH337" s="1">
        <v>45709</v>
      </c>
      <c r="AI337" t="s">
        <v>49</v>
      </c>
    </row>
    <row r="338" spans="1:35" x14ac:dyDescent="0.3">
      <c r="A338" t="s">
        <v>1441</v>
      </c>
      <c r="B338" s="1">
        <v>45654</v>
      </c>
      <c r="C338" s="1" t="str">
        <f>TEXT(Data_Analyst_Intern_Nikhil_Kumar_February2026[[#This Row],[Order Date]], "mmmm")</f>
        <v>December</v>
      </c>
      <c r="D338" s="23">
        <f>WEEKNUM(Data_Analyst_Intern_Nikhil_Kumar_February2026[[#This Row],[Order Date]],2)</f>
        <v>52</v>
      </c>
      <c r="E338" s="23" t="str">
        <f>TEXT(Data_Analyst_Intern_Nikhil_Kumar_February2026[[#This Row],[Order Date]],"dddd")</f>
        <v>Saturday</v>
      </c>
      <c r="F338" s="1">
        <v>45649</v>
      </c>
      <c r="G338" s="23" t="str">
        <f>TEXT(WEEKDAY(Data_Analyst_Intern_Nikhil_Kumar_February2026[[#This Row],[Order Date]],2), "dddd")</f>
        <v>Friday</v>
      </c>
      <c r="H338" t="s">
        <v>1442</v>
      </c>
      <c r="I338" t="s">
        <v>25</v>
      </c>
      <c r="J338" t="s">
        <v>1443</v>
      </c>
      <c r="K338" t="s">
        <v>54</v>
      </c>
      <c r="L338" t="s">
        <v>1444</v>
      </c>
      <c r="M338" s="2">
        <v>2299</v>
      </c>
      <c r="N338">
        <v>1</v>
      </c>
      <c r="O338" s="2">
        <v>2299</v>
      </c>
      <c r="P338" t="s">
        <v>995</v>
      </c>
      <c r="Q338">
        <v>20</v>
      </c>
      <c r="R338" s="4">
        <f>IFERROR(Data_Analyst_Intern_Nikhil_Kumar_February2026[[#This Row],[Total]]/Data_Analyst_Intern_Nikhil_Kumar_February2026[[#This Row],[Discount(%)]],0)</f>
        <v>114.95</v>
      </c>
      <c r="S338" s="2">
        <f>Data_Analyst_Intern_Nikhil_Kumar_February2026[[#This Row],[Total]]-Data_Analyst_Intern_Nikhil_Kumar_February2026[[#This Row],[Discount Amount]]</f>
        <v>2184.0500000000002</v>
      </c>
      <c r="T338" t="s">
        <v>30</v>
      </c>
      <c r="U338" t="s">
        <v>31</v>
      </c>
      <c r="V338" t="s">
        <v>78</v>
      </c>
      <c r="W338" t="s">
        <v>79</v>
      </c>
      <c r="X338" t="s">
        <v>57</v>
      </c>
      <c r="Y338" s="1">
        <v>45681</v>
      </c>
      <c r="Z338" s="3">
        <f>Data_Analyst_Intern_Nikhil_Kumar_February2026[[#This Row],[Del Date]]-Data_Analyst_Intern_Nikhil_Kumar_February2026[[#This Row],[Order Date]]</f>
        <v>27</v>
      </c>
      <c r="AA338" s="3" t="str" cm="1">
        <f t="array" ref="AA338">_xlfn.IFS(Data_Analyst_Intern_Nikhil_Kumar_February2026[[#This Row],[Del Days]]&lt;=7,"Fast",Data_Analyst_Intern_Nikhil_Kumar_February2026[[#This Row],[Del Days]]&lt;=15,"Standard",Data_Analyst_Intern_Nikhil_Kumar_February2026[[#This Row],[Del Days]]&gt;15,"Slow")</f>
        <v>Slow</v>
      </c>
      <c r="AB338" t="s">
        <v>34</v>
      </c>
      <c r="AC338">
        <f>IF(Data_Analyst_Intern_Nikhil_Kumar_February2026[[#This Row],[Status]]="RTO", 1,0)</f>
        <v>0</v>
      </c>
      <c r="AD338">
        <f>IF(Data_Analyst_Intern_Nikhil_Kumar_February2026[[#This Row],[Status]]="Delivered",1,0)</f>
        <v>1</v>
      </c>
      <c r="AE338" t="s">
        <v>35</v>
      </c>
      <c r="AF338">
        <f>IF(AND(Data_Analyst_Intern_Nikhil_Kumar_February2026[[#This Row],[Status]]="Delivered",Data_Analyst_Intern_Nikhil_Kumar_February2026[[#This Row],[Return?]]="Yes"),1,0)</f>
        <v>0</v>
      </c>
      <c r="AG338" t="s">
        <v>29</v>
      </c>
      <c r="AI338" t="s">
        <v>36</v>
      </c>
    </row>
    <row r="339" spans="1:35" x14ac:dyDescent="0.3">
      <c r="A339" t="s">
        <v>1445</v>
      </c>
      <c r="B339" s="1">
        <v>45655</v>
      </c>
      <c r="C339" s="1" t="str">
        <f>TEXT(Data_Analyst_Intern_Nikhil_Kumar_February2026[[#This Row],[Order Date]], "mmmm")</f>
        <v>December</v>
      </c>
      <c r="D339" s="23">
        <f>WEEKNUM(Data_Analyst_Intern_Nikhil_Kumar_February2026[[#This Row],[Order Date]],2)</f>
        <v>52</v>
      </c>
      <c r="E339" s="23" t="str">
        <f>TEXT(Data_Analyst_Intern_Nikhil_Kumar_February2026[[#This Row],[Order Date]],"dddd")</f>
        <v>Sunday</v>
      </c>
      <c r="F339" s="1">
        <v>45649</v>
      </c>
      <c r="G339" s="23" t="str">
        <f>TEXT(WEEKDAY(Data_Analyst_Intern_Nikhil_Kumar_February2026[[#This Row],[Order Date]],2), "dddd")</f>
        <v>Saturday</v>
      </c>
      <c r="H339" t="s">
        <v>1446</v>
      </c>
      <c r="I339" t="s">
        <v>25</v>
      </c>
      <c r="J339" t="s">
        <v>1447</v>
      </c>
      <c r="K339" t="s">
        <v>62</v>
      </c>
      <c r="L339" t="s">
        <v>1448</v>
      </c>
      <c r="M339" s="2">
        <v>5799</v>
      </c>
      <c r="N339">
        <v>1</v>
      </c>
      <c r="O339" s="2">
        <v>5799</v>
      </c>
      <c r="P339" t="s">
        <v>29</v>
      </c>
      <c r="Q339">
        <v>0</v>
      </c>
      <c r="R339" s="4">
        <f>IFERROR(Data_Analyst_Intern_Nikhil_Kumar_February2026[[#This Row],[Total]]/Data_Analyst_Intern_Nikhil_Kumar_February2026[[#This Row],[Discount(%)]],0)</f>
        <v>0</v>
      </c>
      <c r="S339" s="2">
        <f>Data_Analyst_Intern_Nikhil_Kumar_February2026[[#This Row],[Total]]-Data_Analyst_Intern_Nikhil_Kumar_February2026[[#This Row],[Discount Amount]]</f>
        <v>5799</v>
      </c>
      <c r="T339" t="s">
        <v>56</v>
      </c>
      <c r="U339" t="s">
        <v>45</v>
      </c>
      <c r="V339" t="s">
        <v>85</v>
      </c>
      <c r="W339" t="s">
        <v>33</v>
      </c>
      <c r="X339" t="s">
        <v>32</v>
      </c>
      <c r="Y339" s="1">
        <v>45682</v>
      </c>
      <c r="Z339" s="3">
        <f>Data_Analyst_Intern_Nikhil_Kumar_February2026[[#This Row],[Del Date]]-Data_Analyst_Intern_Nikhil_Kumar_February2026[[#This Row],[Order Date]]</f>
        <v>27</v>
      </c>
      <c r="AA339" s="3" t="str" cm="1">
        <f t="array" ref="AA339">_xlfn.IFS(Data_Analyst_Intern_Nikhil_Kumar_February2026[[#This Row],[Del Days]]&lt;=7,"Fast",Data_Analyst_Intern_Nikhil_Kumar_February2026[[#This Row],[Del Days]]&lt;=15,"Standard",Data_Analyst_Intern_Nikhil_Kumar_February2026[[#This Row],[Del Days]]&gt;15,"Slow")</f>
        <v>Slow</v>
      </c>
      <c r="AB339" t="s">
        <v>34</v>
      </c>
      <c r="AC339">
        <f>IF(Data_Analyst_Intern_Nikhil_Kumar_February2026[[#This Row],[Status]]="RTO", 1,0)</f>
        <v>0</v>
      </c>
      <c r="AD339">
        <f>IF(Data_Analyst_Intern_Nikhil_Kumar_February2026[[#This Row],[Status]]="Delivered",1,0)</f>
        <v>1</v>
      </c>
      <c r="AE339" t="s">
        <v>47</v>
      </c>
      <c r="AF339">
        <f>IF(AND(Data_Analyst_Intern_Nikhil_Kumar_February2026[[#This Row],[Status]]="Delivered",Data_Analyst_Intern_Nikhil_Kumar_February2026[[#This Row],[Return?]]="Yes"),1,0)</f>
        <v>1</v>
      </c>
      <c r="AG339" t="s">
        <v>80</v>
      </c>
      <c r="AH339" s="1">
        <v>45710</v>
      </c>
      <c r="AI339" t="s">
        <v>49</v>
      </c>
    </row>
    <row r="340" spans="1:35" x14ac:dyDescent="0.3">
      <c r="A340" t="s">
        <v>1449</v>
      </c>
      <c r="B340" s="1">
        <v>45655</v>
      </c>
      <c r="C340" s="1" t="str">
        <f>TEXT(Data_Analyst_Intern_Nikhil_Kumar_February2026[[#This Row],[Order Date]], "mmmm")</f>
        <v>December</v>
      </c>
      <c r="D340" s="23">
        <f>WEEKNUM(Data_Analyst_Intern_Nikhil_Kumar_February2026[[#This Row],[Order Date]],2)</f>
        <v>52</v>
      </c>
      <c r="E340" s="23" t="str">
        <f>TEXT(Data_Analyst_Intern_Nikhil_Kumar_February2026[[#This Row],[Order Date]],"dddd")</f>
        <v>Sunday</v>
      </c>
      <c r="F340" s="1">
        <v>45649</v>
      </c>
      <c r="G340" s="23" t="str">
        <f>TEXT(WEEKDAY(Data_Analyst_Intern_Nikhil_Kumar_February2026[[#This Row],[Order Date]],2), "dddd")</f>
        <v>Saturday</v>
      </c>
      <c r="H340" t="s">
        <v>1450</v>
      </c>
      <c r="I340" t="s">
        <v>39</v>
      </c>
      <c r="J340" t="s">
        <v>1451</v>
      </c>
      <c r="K340" t="s">
        <v>72</v>
      </c>
      <c r="L340" t="s">
        <v>1452</v>
      </c>
      <c r="M340" s="2">
        <v>699</v>
      </c>
      <c r="N340">
        <v>2</v>
      </c>
      <c r="O340" s="2">
        <v>1398</v>
      </c>
      <c r="P340" t="s">
        <v>29</v>
      </c>
      <c r="Q340">
        <v>0</v>
      </c>
      <c r="R340" s="4">
        <f>IFERROR(Data_Analyst_Intern_Nikhil_Kumar_February2026[[#This Row],[Total]]/Data_Analyst_Intern_Nikhil_Kumar_February2026[[#This Row],[Discount(%)]],0)</f>
        <v>0</v>
      </c>
      <c r="S340" s="2">
        <f>Data_Analyst_Intern_Nikhil_Kumar_February2026[[#This Row],[Total]]-Data_Analyst_Intern_Nikhil_Kumar_February2026[[#This Row],[Discount Amount]]</f>
        <v>1398</v>
      </c>
      <c r="T340" t="s">
        <v>112</v>
      </c>
      <c r="U340" t="s">
        <v>66</v>
      </c>
      <c r="V340" t="s">
        <v>97</v>
      </c>
      <c r="W340" t="s">
        <v>98</v>
      </c>
      <c r="X340" t="s">
        <v>32</v>
      </c>
      <c r="Y340" s="1">
        <v>45681</v>
      </c>
      <c r="Z340" s="3">
        <f>Data_Analyst_Intern_Nikhil_Kumar_February2026[[#This Row],[Del Date]]-Data_Analyst_Intern_Nikhil_Kumar_February2026[[#This Row],[Order Date]]</f>
        <v>26</v>
      </c>
      <c r="AA340" s="3" t="str" cm="1">
        <f t="array" ref="AA340">_xlfn.IFS(Data_Analyst_Intern_Nikhil_Kumar_February2026[[#This Row],[Del Days]]&lt;=7,"Fast",Data_Analyst_Intern_Nikhil_Kumar_February2026[[#This Row],[Del Days]]&lt;=15,"Standard",Data_Analyst_Intern_Nikhil_Kumar_February2026[[#This Row],[Del Days]]&gt;15,"Slow")</f>
        <v>Slow</v>
      </c>
      <c r="AB340" t="s">
        <v>34</v>
      </c>
      <c r="AC340">
        <f>IF(Data_Analyst_Intern_Nikhil_Kumar_February2026[[#This Row],[Status]]="RTO", 1,0)</f>
        <v>0</v>
      </c>
      <c r="AD340">
        <f>IF(Data_Analyst_Intern_Nikhil_Kumar_February2026[[#This Row],[Status]]="Delivered",1,0)</f>
        <v>1</v>
      </c>
      <c r="AE340" t="s">
        <v>47</v>
      </c>
      <c r="AF340">
        <f>IF(AND(Data_Analyst_Intern_Nikhil_Kumar_February2026[[#This Row],[Status]]="Delivered",Data_Analyst_Intern_Nikhil_Kumar_February2026[[#This Row],[Return?]]="Yes"),1,0)</f>
        <v>1</v>
      </c>
      <c r="AG340" t="s">
        <v>69</v>
      </c>
      <c r="AH340" s="1">
        <v>45708</v>
      </c>
      <c r="AI340" t="s">
        <v>49</v>
      </c>
    </row>
    <row r="341" spans="1:35" x14ac:dyDescent="0.3">
      <c r="A341" t="s">
        <v>1453</v>
      </c>
      <c r="B341" s="1">
        <v>45655</v>
      </c>
      <c r="C341" s="1" t="str">
        <f>TEXT(Data_Analyst_Intern_Nikhil_Kumar_February2026[[#This Row],[Order Date]], "mmmm")</f>
        <v>December</v>
      </c>
      <c r="D341" s="23">
        <f>WEEKNUM(Data_Analyst_Intern_Nikhil_Kumar_February2026[[#This Row],[Order Date]],2)</f>
        <v>52</v>
      </c>
      <c r="E341" s="23" t="str">
        <f>TEXT(Data_Analyst_Intern_Nikhil_Kumar_February2026[[#This Row],[Order Date]],"dddd")</f>
        <v>Sunday</v>
      </c>
      <c r="F341" s="1">
        <v>45649</v>
      </c>
      <c r="G341" s="23" t="str">
        <f>TEXT(WEEKDAY(Data_Analyst_Intern_Nikhil_Kumar_February2026[[#This Row],[Order Date]],2), "dddd")</f>
        <v>Saturday</v>
      </c>
      <c r="H341" t="s">
        <v>1454</v>
      </c>
      <c r="I341" t="s">
        <v>25</v>
      </c>
      <c r="J341" t="s">
        <v>1455</v>
      </c>
      <c r="K341" t="s">
        <v>27</v>
      </c>
      <c r="L341" t="s">
        <v>1456</v>
      </c>
      <c r="M341" s="2">
        <v>1999</v>
      </c>
      <c r="N341">
        <v>1</v>
      </c>
      <c r="O341" s="2">
        <v>1999</v>
      </c>
      <c r="P341" t="s">
        <v>995</v>
      </c>
      <c r="Q341">
        <v>20</v>
      </c>
      <c r="R341" s="4">
        <f>IFERROR(Data_Analyst_Intern_Nikhil_Kumar_February2026[[#This Row],[Total]]/Data_Analyst_Intern_Nikhil_Kumar_February2026[[#This Row],[Discount(%)]],0)</f>
        <v>99.95</v>
      </c>
      <c r="S341" s="2">
        <f>Data_Analyst_Intern_Nikhil_Kumar_February2026[[#This Row],[Total]]-Data_Analyst_Intern_Nikhil_Kumar_February2026[[#This Row],[Discount Amount]]</f>
        <v>1899.05</v>
      </c>
      <c r="T341" t="s">
        <v>65</v>
      </c>
      <c r="U341" t="s">
        <v>31</v>
      </c>
      <c r="V341" t="s">
        <v>103</v>
      </c>
      <c r="W341" t="s">
        <v>104</v>
      </c>
      <c r="X341" t="s">
        <v>46</v>
      </c>
      <c r="Y341" s="1">
        <v>45682</v>
      </c>
      <c r="Z341" s="3">
        <f>Data_Analyst_Intern_Nikhil_Kumar_February2026[[#This Row],[Del Date]]-Data_Analyst_Intern_Nikhil_Kumar_February2026[[#This Row],[Order Date]]</f>
        <v>27</v>
      </c>
      <c r="AA341" s="3" t="str" cm="1">
        <f t="array" ref="AA341">_xlfn.IFS(Data_Analyst_Intern_Nikhil_Kumar_February2026[[#This Row],[Del Days]]&lt;=7,"Fast",Data_Analyst_Intern_Nikhil_Kumar_February2026[[#This Row],[Del Days]]&lt;=15,"Standard",Data_Analyst_Intern_Nikhil_Kumar_February2026[[#This Row],[Del Days]]&gt;15,"Slow")</f>
        <v>Slow</v>
      </c>
      <c r="AB341" t="s">
        <v>34</v>
      </c>
      <c r="AC341">
        <f>IF(Data_Analyst_Intern_Nikhil_Kumar_February2026[[#This Row],[Status]]="RTO", 1,0)</f>
        <v>0</v>
      </c>
      <c r="AD341">
        <f>IF(Data_Analyst_Intern_Nikhil_Kumar_February2026[[#This Row],[Status]]="Delivered",1,0)</f>
        <v>1</v>
      </c>
      <c r="AE341" t="s">
        <v>35</v>
      </c>
      <c r="AF341">
        <f>IF(AND(Data_Analyst_Intern_Nikhil_Kumar_February2026[[#This Row],[Status]]="Delivered",Data_Analyst_Intern_Nikhil_Kumar_February2026[[#This Row],[Return?]]="Yes"),1,0)</f>
        <v>0</v>
      </c>
      <c r="AG341" t="s">
        <v>29</v>
      </c>
      <c r="AI341" t="s">
        <v>36</v>
      </c>
    </row>
    <row r="342" spans="1:35" x14ac:dyDescent="0.3">
      <c r="A342" t="s">
        <v>1457</v>
      </c>
      <c r="B342" s="1">
        <v>45655</v>
      </c>
      <c r="C342" s="1" t="str">
        <f>TEXT(Data_Analyst_Intern_Nikhil_Kumar_February2026[[#This Row],[Order Date]], "mmmm")</f>
        <v>December</v>
      </c>
      <c r="D342" s="23">
        <f>WEEKNUM(Data_Analyst_Intern_Nikhil_Kumar_February2026[[#This Row],[Order Date]],2)</f>
        <v>52</v>
      </c>
      <c r="E342" s="23" t="str">
        <f>TEXT(Data_Analyst_Intern_Nikhil_Kumar_February2026[[#This Row],[Order Date]],"dddd")</f>
        <v>Sunday</v>
      </c>
      <c r="F342" s="1">
        <v>45649</v>
      </c>
      <c r="G342" s="23" t="str">
        <f>TEXT(WEEKDAY(Data_Analyst_Intern_Nikhil_Kumar_February2026[[#This Row],[Order Date]],2), "dddd")</f>
        <v>Saturday</v>
      </c>
      <c r="H342" t="s">
        <v>1454</v>
      </c>
      <c r="I342" t="s">
        <v>25</v>
      </c>
      <c r="J342" t="s">
        <v>1458</v>
      </c>
      <c r="K342" t="s">
        <v>41</v>
      </c>
      <c r="L342" t="s">
        <v>1459</v>
      </c>
      <c r="M342" s="2">
        <v>3899</v>
      </c>
      <c r="N342">
        <v>1</v>
      </c>
      <c r="O342" s="2">
        <v>3899</v>
      </c>
      <c r="P342" t="s">
        <v>29</v>
      </c>
      <c r="Q342">
        <v>0</v>
      </c>
      <c r="R342" s="4">
        <f>IFERROR(Data_Analyst_Intern_Nikhil_Kumar_February2026[[#This Row],[Total]]/Data_Analyst_Intern_Nikhil_Kumar_February2026[[#This Row],[Discount(%)]],0)</f>
        <v>0</v>
      </c>
      <c r="S342" s="2">
        <f>Data_Analyst_Intern_Nikhil_Kumar_February2026[[#This Row],[Total]]-Data_Analyst_Intern_Nikhil_Kumar_February2026[[#This Row],[Discount Amount]]</f>
        <v>3899</v>
      </c>
      <c r="T342" t="s">
        <v>44</v>
      </c>
      <c r="U342" t="s">
        <v>45</v>
      </c>
      <c r="V342" t="s">
        <v>113</v>
      </c>
      <c r="W342" t="s">
        <v>114</v>
      </c>
      <c r="X342" t="s">
        <v>46</v>
      </c>
      <c r="Y342" s="1">
        <v>45683</v>
      </c>
      <c r="Z342" s="3">
        <f>Data_Analyst_Intern_Nikhil_Kumar_February2026[[#This Row],[Del Date]]-Data_Analyst_Intern_Nikhil_Kumar_February2026[[#This Row],[Order Date]]</f>
        <v>28</v>
      </c>
      <c r="AA342" s="3" t="str" cm="1">
        <f t="array" ref="AA342">_xlfn.IFS(Data_Analyst_Intern_Nikhil_Kumar_February2026[[#This Row],[Del Days]]&lt;=7,"Fast",Data_Analyst_Intern_Nikhil_Kumar_February2026[[#This Row],[Del Days]]&lt;=15,"Standard",Data_Analyst_Intern_Nikhil_Kumar_February2026[[#This Row],[Del Days]]&gt;15,"Slow")</f>
        <v>Slow</v>
      </c>
      <c r="AB342" t="s">
        <v>34</v>
      </c>
      <c r="AC342">
        <f>IF(Data_Analyst_Intern_Nikhil_Kumar_February2026[[#This Row],[Status]]="RTO", 1,0)</f>
        <v>0</v>
      </c>
      <c r="AD342">
        <f>IF(Data_Analyst_Intern_Nikhil_Kumar_February2026[[#This Row],[Status]]="Delivered",1,0)</f>
        <v>1</v>
      </c>
      <c r="AE342" t="s">
        <v>47</v>
      </c>
      <c r="AF342">
        <f>IF(AND(Data_Analyst_Intern_Nikhil_Kumar_February2026[[#This Row],[Status]]="Delivered",Data_Analyst_Intern_Nikhil_Kumar_February2026[[#This Row],[Return?]]="Yes"),1,0)</f>
        <v>1</v>
      </c>
      <c r="AG342" t="s">
        <v>48</v>
      </c>
      <c r="AH342" s="1">
        <v>45711</v>
      </c>
      <c r="AI342" t="s">
        <v>49</v>
      </c>
    </row>
    <row r="343" spans="1:35" x14ac:dyDescent="0.3">
      <c r="A343" t="s">
        <v>1460</v>
      </c>
      <c r="B343" s="1">
        <v>45656</v>
      </c>
      <c r="C343" s="1" t="str">
        <f>TEXT(Data_Analyst_Intern_Nikhil_Kumar_February2026[[#This Row],[Order Date]], "mmmm")</f>
        <v>December</v>
      </c>
      <c r="D343" s="23">
        <f>WEEKNUM(Data_Analyst_Intern_Nikhil_Kumar_February2026[[#This Row],[Order Date]],2)</f>
        <v>53</v>
      </c>
      <c r="E343" s="23" t="str">
        <f>TEXT(Data_Analyst_Intern_Nikhil_Kumar_February2026[[#This Row],[Order Date]],"dddd")</f>
        <v>Monday</v>
      </c>
      <c r="F343" s="1">
        <v>45656</v>
      </c>
      <c r="G343" s="23" t="str">
        <f>TEXT(WEEKDAY(Data_Analyst_Intern_Nikhil_Kumar_February2026[[#This Row],[Order Date]],2), "dddd")</f>
        <v>Sunday</v>
      </c>
      <c r="H343" t="s">
        <v>1461</v>
      </c>
      <c r="I343" t="s">
        <v>25</v>
      </c>
      <c r="J343" t="s">
        <v>1462</v>
      </c>
      <c r="K343" t="s">
        <v>54</v>
      </c>
      <c r="L343" t="s">
        <v>1463</v>
      </c>
      <c r="M343" s="2">
        <v>2099</v>
      </c>
      <c r="N343">
        <v>1</v>
      </c>
      <c r="O343" s="2">
        <v>2099</v>
      </c>
      <c r="P343" t="s">
        <v>29</v>
      </c>
      <c r="Q343">
        <v>0</v>
      </c>
      <c r="R343" s="4">
        <f>IFERROR(Data_Analyst_Intern_Nikhil_Kumar_February2026[[#This Row],[Total]]/Data_Analyst_Intern_Nikhil_Kumar_February2026[[#This Row],[Discount(%)]],0)</f>
        <v>0</v>
      </c>
      <c r="S343" s="2">
        <f>Data_Analyst_Intern_Nikhil_Kumar_February2026[[#This Row],[Total]]-Data_Analyst_Intern_Nikhil_Kumar_February2026[[#This Row],[Discount Amount]]</f>
        <v>2099</v>
      </c>
      <c r="T343" t="s">
        <v>30</v>
      </c>
      <c r="U343" t="s">
        <v>66</v>
      </c>
      <c r="V343" t="s">
        <v>57</v>
      </c>
      <c r="W343" t="s">
        <v>58</v>
      </c>
      <c r="X343" t="s">
        <v>57</v>
      </c>
      <c r="Y343" s="1">
        <v>45683</v>
      </c>
      <c r="Z343" s="3">
        <f>Data_Analyst_Intern_Nikhil_Kumar_February2026[[#This Row],[Del Date]]-Data_Analyst_Intern_Nikhil_Kumar_February2026[[#This Row],[Order Date]]</f>
        <v>27</v>
      </c>
      <c r="AA343" s="3" t="str" cm="1">
        <f t="array" ref="AA343">_xlfn.IFS(Data_Analyst_Intern_Nikhil_Kumar_February2026[[#This Row],[Del Days]]&lt;=7,"Fast",Data_Analyst_Intern_Nikhil_Kumar_February2026[[#This Row],[Del Days]]&lt;=15,"Standard",Data_Analyst_Intern_Nikhil_Kumar_February2026[[#This Row],[Del Days]]&gt;15,"Slow")</f>
        <v>Slow</v>
      </c>
      <c r="AB343" t="s">
        <v>34</v>
      </c>
      <c r="AC343">
        <f>IF(Data_Analyst_Intern_Nikhil_Kumar_February2026[[#This Row],[Status]]="RTO", 1,0)</f>
        <v>0</v>
      </c>
      <c r="AD343">
        <f>IF(Data_Analyst_Intern_Nikhil_Kumar_February2026[[#This Row],[Status]]="Delivered",1,0)</f>
        <v>1</v>
      </c>
      <c r="AE343" t="s">
        <v>35</v>
      </c>
      <c r="AF343">
        <f>IF(AND(Data_Analyst_Intern_Nikhil_Kumar_February2026[[#This Row],[Status]]="Delivered",Data_Analyst_Intern_Nikhil_Kumar_February2026[[#This Row],[Return?]]="Yes"),1,0)</f>
        <v>0</v>
      </c>
      <c r="AG343" t="s">
        <v>29</v>
      </c>
      <c r="AI343" t="s">
        <v>36</v>
      </c>
    </row>
    <row r="344" spans="1:35" x14ac:dyDescent="0.3">
      <c r="A344" t="s">
        <v>1464</v>
      </c>
      <c r="B344" s="1">
        <v>45656</v>
      </c>
      <c r="C344" s="1" t="str">
        <f>TEXT(Data_Analyst_Intern_Nikhil_Kumar_February2026[[#This Row],[Order Date]], "mmmm")</f>
        <v>December</v>
      </c>
      <c r="D344" s="23">
        <f>WEEKNUM(Data_Analyst_Intern_Nikhil_Kumar_February2026[[#This Row],[Order Date]],2)</f>
        <v>53</v>
      </c>
      <c r="E344" s="23" t="str">
        <f>TEXT(Data_Analyst_Intern_Nikhil_Kumar_February2026[[#This Row],[Order Date]],"dddd")</f>
        <v>Monday</v>
      </c>
      <c r="F344" s="1">
        <v>45656</v>
      </c>
      <c r="G344" s="23" t="str">
        <f>TEXT(WEEKDAY(Data_Analyst_Intern_Nikhil_Kumar_February2026[[#This Row],[Order Date]],2), "dddd")</f>
        <v>Sunday</v>
      </c>
      <c r="H344" t="s">
        <v>1465</v>
      </c>
      <c r="I344" t="s">
        <v>25</v>
      </c>
      <c r="J344" t="s">
        <v>1466</v>
      </c>
      <c r="K344" t="s">
        <v>62</v>
      </c>
      <c r="L344" t="s">
        <v>1467</v>
      </c>
      <c r="M344" s="2">
        <v>4899</v>
      </c>
      <c r="N344">
        <v>1</v>
      </c>
      <c r="O344" s="2">
        <v>4899</v>
      </c>
      <c r="P344" t="s">
        <v>995</v>
      </c>
      <c r="Q344">
        <v>20</v>
      </c>
      <c r="R344" s="4">
        <f>IFERROR(Data_Analyst_Intern_Nikhil_Kumar_February2026[[#This Row],[Total]]/Data_Analyst_Intern_Nikhil_Kumar_February2026[[#This Row],[Discount(%)]],0)</f>
        <v>244.95</v>
      </c>
      <c r="S344" s="2">
        <f>Data_Analyst_Intern_Nikhil_Kumar_February2026[[#This Row],[Total]]-Data_Analyst_Intern_Nikhil_Kumar_February2026[[#This Row],[Discount Amount]]</f>
        <v>4654.05</v>
      </c>
      <c r="T344" t="s">
        <v>56</v>
      </c>
      <c r="U344" t="s">
        <v>31</v>
      </c>
      <c r="V344" t="s">
        <v>32</v>
      </c>
      <c r="W344" t="s">
        <v>33</v>
      </c>
      <c r="X344" t="s">
        <v>32</v>
      </c>
      <c r="Y344" s="1">
        <v>45684</v>
      </c>
      <c r="Z344" s="3">
        <f>Data_Analyst_Intern_Nikhil_Kumar_February2026[[#This Row],[Del Date]]-Data_Analyst_Intern_Nikhil_Kumar_February2026[[#This Row],[Order Date]]</f>
        <v>28</v>
      </c>
      <c r="AA344" s="3" t="str" cm="1">
        <f t="array" ref="AA344">_xlfn.IFS(Data_Analyst_Intern_Nikhil_Kumar_February2026[[#This Row],[Del Days]]&lt;=7,"Fast",Data_Analyst_Intern_Nikhil_Kumar_February2026[[#This Row],[Del Days]]&lt;=15,"Standard",Data_Analyst_Intern_Nikhil_Kumar_February2026[[#This Row],[Del Days]]&gt;15,"Slow")</f>
        <v>Slow</v>
      </c>
      <c r="AB344" t="s">
        <v>34</v>
      </c>
      <c r="AC344">
        <f>IF(Data_Analyst_Intern_Nikhil_Kumar_February2026[[#This Row],[Status]]="RTO", 1,0)</f>
        <v>0</v>
      </c>
      <c r="AD344">
        <f>IF(Data_Analyst_Intern_Nikhil_Kumar_February2026[[#This Row],[Status]]="Delivered",1,0)</f>
        <v>1</v>
      </c>
      <c r="AE344" t="s">
        <v>47</v>
      </c>
      <c r="AF344">
        <f>IF(AND(Data_Analyst_Intern_Nikhil_Kumar_February2026[[#This Row],[Status]]="Delivered",Data_Analyst_Intern_Nikhil_Kumar_February2026[[#This Row],[Return?]]="Yes"),1,0)</f>
        <v>1</v>
      </c>
      <c r="AG344" t="s">
        <v>105</v>
      </c>
      <c r="AH344" s="1">
        <v>45712</v>
      </c>
      <c r="AI344" t="s">
        <v>49</v>
      </c>
    </row>
    <row r="345" spans="1:35" x14ac:dyDescent="0.3">
      <c r="A345" t="s">
        <v>1468</v>
      </c>
      <c r="B345" s="1">
        <v>45656</v>
      </c>
      <c r="C345" s="1" t="str">
        <f>TEXT(Data_Analyst_Intern_Nikhil_Kumar_February2026[[#This Row],[Order Date]], "mmmm")</f>
        <v>December</v>
      </c>
      <c r="D345" s="23">
        <f>WEEKNUM(Data_Analyst_Intern_Nikhil_Kumar_February2026[[#This Row],[Order Date]],2)</f>
        <v>53</v>
      </c>
      <c r="E345" s="23" t="str">
        <f>TEXT(Data_Analyst_Intern_Nikhil_Kumar_February2026[[#This Row],[Order Date]],"dddd")</f>
        <v>Monday</v>
      </c>
      <c r="F345" s="1">
        <v>45656</v>
      </c>
      <c r="G345" s="23" t="str">
        <f>TEXT(WEEKDAY(Data_Analyst_Intern_Nikhil_Kumar_February2026[[#This Row],[Order Date]],2), "dddd")</f>
        <v>Sunday</v>
      </c>
      <c r="H345" t="s">
        <v>1469</v>
      </c>
      <c r="I345" t="s">
        <v>39</v>
      </c>
      <c r="J345" t="s">
        <v>1470</v>
      </c>
      <c r="K345" t="s">
        <v>72</v>
      </c>
      <c r="L345" t="s">
        <v>1471</v>
      </c>
      <c r="M345" s="2">
        <v>599</v>
      </c>
      <c r="N345">
        <v>3</v>
      </c>
      <c r="O345" s="2">
        <v>1797</v>
      </c>
      <c r="P345" t="s">
        <v>29</v>
      </c>
      <c r="Q345">
        <v>0</v>
      </c>
      <c r="R345" s="4">
        <f>IFERROR(Data_Analyst_Intern_Nikhil_Kumar_February2026[[#This Row],[Total]]/Data_Analyst_Intern_Nikhil_Kumar_February2026[[#This Row],[Discount(%)]],0)</f>
        <v>0</v>
      </c>
      <c r="S345" s="2">
        <f>Data_Analyst_Intern_Nikhil_Kumar_February2026[[#This Row],[Total]]-Data_Analyst_Intern_Nikhil_Kumar_February2026[[#This Row],[Discount Amount]]</f>
        <v>1797</v>
      </c>
      <c r="T345" t="s">
        <v>112</v>
      </c>
      <c r="U345" t="s">
        <v>45</v>
      </c>
      <c r="V345" t="s">
        <v>46</v>
      </c>
      <c r="W345" t="s">
        <v>46</v>
      </c>
      <c r="X345" t="s">
        <v>46</v>
      </c>
      <c r="Y345" s="1">
        <v>45683</v>
      </c>
      <c r="Z345" s="3">
        <f>Data_Analyst_Intern_Nikhil_Kumar_February2026[[#This Row],[Del Date]]-Data_Analyst_Intern_Nikhil_Kumar_February2026[[#This Row],[Order Date]]</f>
        <v>27</v>
      </c>
      <c r="AA345" s="3" t="str" cm="1">
        <f t="array" ref="AA345">_xlfn.IFS(Data_Analyst_Intern_Nikhil_Kumar_February2026[[#This Row],[Del Days]]&lt;=7,"Fast",Data_Analyst_Intern_Nikhil_Kumar_February2026[[#This Row],[Del Days]]&lt;=15,"Standard",Data_Analyst_Intern_Nikhil_Kumar_February2026[[#This Row],[Del Days]]&gt;15,"Slow")</f>
        <v>Slow</v>
      </c>
      <c r="AB345" t="s">
        <v>34</v>
      </c>
      <c r="AC345">
        <f>IF(Data_Analyst_Intern_Nikhil_Kumar_February2026[[#This Row],[Status]]="RTO", 1,0)</f>
        <v>0</v>
      </c>
      <c r="AD345">
        <f>IF(Data_Analyst_Intern_Nikhil_Kumar_February2026[[#This Row],[Status]]="Delivered",1,0)</f>
        <v>1</v>
      </c>
      <c r="AE345" t="s">
        <v>35</v>
      </c>
      <c r="AF345">
        <f>IF(AND(Data_Analyst_Intern_Nikhil_Kumar_February2026[[#This Row],[Status]]="Delivered",Data_Analyst_Intern_Nikhil_Kumar_February2026[[#This Row],[Return?]]="Yes"),1,0)</f>
        <v>0</v>
      </c>
      <c r="AG345" t="s">
        <v>29</v>
      </c>
      <c r="AI345" t="s">
        <v>36</v>
      </c>
    </row>
    <row r="346" spans="1:35" x14ac:dyDescent="0.3">
      <c r="A346" t="s">
        <v>1472</v>
      </c>
      <c r="B346" s="1">
        <v>45656</v>
      </c>
      <c r="C346" s="1" t="str">
        <f>TEXT(Data_Analyst_Intern_Nikhil_Kumar_February2026[[#This Row],[Order Date]], "mmmm")</f>
        <v>December</v>
      </c>
      <c r="D346" s="23">
        <f>WEEKNUM(Data_Analyst_Intern_Nikhil_Kumar_February2026[[#This Row],[Order Date]],2)</f>
        <v>53</v>
      </c>
      <c r="E346" s="23" t="str">
        <f>TEXT(Data_Analyst_Intern_Nikhil_Kumar_February2026[[#This Row],[Order Date]],"dddd")</f>
        <v>Monday</v>
      </c>
      <c r="F346" s="1">
        <v>45656</v>
      </c>
      <c r="G346" s="23" t="str">
        <f>TEXT(WEEKDAY(Data_Analyst_Intern_Nikhil_Kumar_February2026[[#This Row],[Order Date]],2), "dddd")</f>
        <v>Sunday</v>
      </c>
      <c r="H346" t="s">
        <v>1473</v>
      </c>
      <c r="I346" t="s">
        <v>25</v>
      </c>
      <c r="J346" t="s">
        <v>1474</v>
      </c>
      <c r="K346" t="s">
        <v>27</v>
      </c>
      <c r="L346" t="s">
        <v>1475</v>
      </c>
      <c r="M346" s="2">
        <v>2199</v>
      </c>
      <c r="N346">
        <v>1</v>
      </c>
      <c r="O346" s="2">
        <v>2199</v>
      </c>
      <c r="P346" t="s">
        <v>29</v>
      </c>
      <c r="Q346">
        <v>0</v>
      </c>
      <c r="R346" s="4">
        <f>IFERROR(Data_Analyst_Intern_Nikhil_Kumar_February2026[[#This Row],[Total]]/Data_Analyst_Intern_Nikhil_Kumar_February2026[[#This Row],[Discount(%)]],0)</f>
        <v>0</v>
      </c>
      <c r="S346" s="2">
        <f>Data_Analyst_Intern_Nikhil_Kumar_February2026[[#This Row],[Total]]-Data_Analyst_Intern_Nikhil_Kumar_February2026[[#This Row],[Discount Amount]]</f>
        <v>2199</v>
      </c>
      <c r="T346" t="s">
        <v>65</v>
      </c>
      <c r="U346" t="s">
        <v>66</v>
      </c>
      <c r="V346" t="s">
        <v>119</v>
      </c>
      <c r="W346" t="s">
        <v>120</v>
      </c>
      <c r="X346" t="s">
        <v>46</v>
      </c>
      <c r="Y346" s="1">
        <v>45684</v>
      </c>
      <c r="Z346" s="3">
        <f>Data_Analyst_Intern_Nikhil_Kumar_February2026[[#This Row],[Del Date]]-Data_Analyst_Intern_Nikhil_Kumar_February2026[[#This Row],[Order Date]]</f>
        <v>28</v>
      </c>
      <c r="AA346" s="3" t="str" cm="1">
        <f t="array" ref="AA346">_xlfn.IFS(Data_Analyst_Intern_Nikhil_Kumar_February2026[[#This Row],[Del Days]]&lt;=7,"Fast",Data_Analyst_Intern_Nikhil_Kumar_February2026[[#This Row],[Del Days]]&lt;=15,"Standard",Data_Analyst_Intern_Nikhil_Kumar_February2026[[#This Row],[Del Days]]&gt;15,"Slow")</f>
        <v>Slow</v>
      </c>
      <c r="AB346" t="s">
        <v>34</v>
      </c>
      <c r="AC346">
        <f>IF(Data_Analyst_Intern_Nikhil_Kumar_February2026[[#This Row],[Status]]="RTO", 1,0)</f>
        <v>0</v>
      </c>
      <c r="AD346">
        <f>IF(Data_Analyst_Intern_Nikhil_Kumar_February2026[[#This Row],[Status]]="Delivered",1,0)</f>
        <v>1</v>
      </c>
      <c r="AE346" t="s">
        <v>47</v>
      </c>
      <c r="AF346">
        <f>IF(AND(Data_Analyst_Intern_Nikhil_Kumar_February2026[[#This Row],[Status]]="Delivered",Data_Analyst_Intern_Nikhil_Kumar_February2026[[#This Row],[Return?]]="Yes"),1,0)</f>
        <v>1</v>
      </c>
      <c r="AG346" t="s">
        <v>139</v>
      </c>
      <c r="AH346" s="1">
        <v>45711</v>
      </c>
      <c r="AI346" t="s">
        <v>49</v>
      </c>
    </row>
    <row r="347" spans="1:35" x14ac:dyDescent="0.3">
      <c r="A347" t="s">
        <v>1476</v>
      </c>
      <c r="B347" s="1">
        <v>45657</v>
      </c>
      <c r="C347" s="1" t="str">
        <f>TEXT(Data_Analyst_Intern_Nikhil_Kumar_February2026[[#This Row],[Order Date]], "mmmm")</f>
        <v>December</v>
      </c>
      <c r="D347" s="23">
        <f>WEEKNUM(Data_Analyst_Intern_Nikhil_Kumar_February2026[[#This Row],[Order Date]],2)</f>
        <v>53</v>
      </c>
      <c r="E347" s="23" t="str">
        <f>TEXT(Data_Analyst_Intern_Nikhil_Kumar_February2026[[#This Row],[Order Date]],"dddd")</f>
        <v>Tuesday</v>
      </c>
      <c r="F347" s="1">
        <v>45656</v>
      </c>
      <c r="G347" s="23" t="str">
        <f>TEXT(WEEKDAY(Data_Analyst_Intern_Nikhil_Kumar_February2026[[#This Row],[Order Date]],2), "dddd")</f>
        <v>Monday</v>
      </c>
      <c r="H347" t="s">
        <v>1477</v>
      </c>
      <c r="I347" t="s">
        <v>25</v>
      </c>
      <c r="J347" t="s">
        <v>1478</v>
      </c>
      <c r="K347" t="s">
        <v>41</v>
      </c>
      <c r="L347" t="s">
        <v>1161</v>
      </c>
      <c r="M347" s="2">
        <v>4499</v>
      </c>
      <c r="N347">
        <v>1</v>
      </c>
      <c r="O347" s="2">
        <v>4499</v>
      </c>
      <c r="P347" t="s">
        <v>995</v>
      </c>
      <c r="Q347">
        <v>20</v>
      </c>
      <c r="R347" s="4">
        <f>IFERROR(Data_Analyst_Intern_Nikhil_Kumar_February2026[[#This Row],[Total]]/Data_Analyst_Intern_Nikhil_Kumar_February2026[[#This Row],[Discount(%)]],0)</f>
        <v>224.95</v>
      </c>
      <c r="S347" s="2">
        <f>Data_Analyst_Intern_Nikhil_Kumar_February2026[[#This Row],[Total]]-Data_Analyst_Intern_Nikhil_Kumar_February2026[[#This Row],[Discount Amount]]</f>
        <v>4274.05</v>
      </c>
      <c r="T347" t="s">
        <v>44</v>
      </c>
      <c r="U347" t="s">
        <v>31</v>
      </c>
      <c r="V347" t="s">
        <v>138</v>
      </c>
      <c r="W347" t="s">
        <v>114</v>
      </c>
      <c r="X347" t="s">
        <v>46</v>
      </c>
      <c r="Y347" s="1">
        <v>45685</v>
      </c>
      <c r="Z347" s="3">
        <f>Data_Analyst_Intern_Nikhil_Kumar_February2026[[#This Row],[Del Date]]-Data_Analyst_Intern_Nikhil_Kumar_February2026[[#This Row],[Order Date]]</f>
        <v>28</v>
      </c>
      <c r="AA347" s="3" t="str" cm="1">
        <f t="array" ref="AA347">_xlfn.IFS(Data_Analyst_Intern_Nikhil_Kumar_February2026[[#This Row],[Del Days]]&lt;=7,"Fast",Data_Analyst_Intern_Nikhil_Kumar_February2026[[#This Row],[Del Days]]&lt;=15,"Standard",Data_Analyst_Intern_Nikhil_Kumar_February2026[[#This Row],[Del Days]]&gt;15,"Slow")</f>
        <v>Slow</v>
      </c>
      <c r="AB347" t="s">
        <v>34</v>
      </c>
      <c r="AC347">
        <f>IF(Data_Analyst_Intern_Nikhil_Kumar_February2026[[#This Row],[Status]]="RTO", 1,0)</f>
        <v>0</v>
      </c>
      <c r="AD347">
        <f>IF(Data_Analyst_Intern_Nikhil_Kumar_February2026[[#This Row],[Status]]="Delivered",1,0)</f>
        <v>1</v>
      </c>
      <c r="AE347" t="s">
        <v>47</v>
      </c>
      <c r="AF347">
        <f>IF(AND(Data_Analyst_Intern_Nikhil_Kumar_February2026[[#This Row],[Status]]="Delivered",Data_Analyst_Intern_Nikhil_Kumar_February2026[[#This Row],[Return?]]="Yes"),1,0)</f>
        <v>1</v>
      </c>
      <c r="AG347" t="s">
        <v>48</v>
      </c>
      <c r="AH347" s="1">
        <v>45713</v>
      </c>
      <c r="AI347" t="s">
        <v>49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4C470-57C3-40AF-839A-D995A2CBEB5C}">
  <dimension ref="A1:Y257"/>
  <sheetViews>
    <sheetView showGridLines="0" tabSelected="1" zoomScale="115" zoomScaleNormal="115" workbookViewId="0">
      <selection activeCell="M153" sqref="A1:XFD1048576"/>
    </sheetView>
  </sheetViews>
  <sheetFormatPr defaultRowHeight="14.4" x14ac:dyDescent="0.3"/>
  <cols>
    <col min="1" max="1" width="20.109375" bestFit="1" customWidth="1"/>
    <col min="2" max="2" width="16.21875" bestFit="1" customWidth="1"/>
    <col min="3" max="3" width="9.5546875" bestFit="1" customWidth="1"/>
    <col min="4" max="4" width="11.33203125" bestFit="1" customWidth="1"/>
    <col min="5" max="5" width="20" bestFit="1" customWidth="1"/>
    <col min="6" max="6" width="25.5546875" bestFit="1" customWidth="1"/>
    <col min="7" max="7" width="16.21875" bestFit="1" customWidth="1"/>
    <col min="8" max="8" width="13.77734375" bestFit="1" customWidth="1"/>
    <col min="9" max="9" width="14.88671875" bestFit="1" customWidth="1"/>
    <col min="10" max="10" width="28.77734375" bestFit="1" customWidth="1"/>
    <col min="11" max="11" width="21.88671875" bestFit="1" customWidth="1"/>
    <col min="12" max="12" width="16.21875" bestFit="1" customWidth="1"/>
    <col min="13" max="13" width="9.5546875" bestFit="1" customWidth="1"/>
    <col min="14" max="14" width="11.33203125" bestFit="1" customWidth="1"/>
    <col min="15" max="15" width="17.6640625" bestFit="1" customWidth="1"/>
    <col min="16" max="16" width="18.21875" bestFit="1" customWidth="1"/>
    <col min="17" max="17" width="23.33203125" bestFit="1" customWidth="1"/>
    <col min="18" max="18" width="20" bestFit="1" customWidth="1"/>
    <col min="19" max="19" width="12.6640625" bestFit="1" customWidth="1"/>
    <col min="21" max="21" width="18" bestFit="1" customWidth="1"/>
    <col min="22" max="22" width="18.21875" bestFit="1" customWidth="1"/>
    <col min="23" max="23" width="23.33203125" bestFit="1" customWidth="1"/>
    <col min="24" max="24" width="20" bestFit="1" customWidth="1"/>
    <col min="25" max="25" width="12.6640625" bestFit="1" customWidth="1"/>
  </cols>
  <sheetData>
    <row r="1" spans="1:11" ht="23.4" x14ac:dyDescent="0.45">
      <c r="A1" s="22" t="s">
        <v>1508</v>
      </c>
      <c r="B1" s="5"/>
      <c r="C1" s="5"/>
    </row>
    <row r="3" spans="1:11" x14ac:dyDescent="0.3">
      <c r="A3" s="10" t="s">
        <v>1484</v>
      </c>
      <c r="B3" s="6">
        <f>COUNTA(Data_Analyst_Intern_Nikhil_Kumar_February2026[Order ID])</f>
        <v>346</v>
      </c>
    </row>
    <row r="4" spans="1:11" x14ac:dyDescent="0.3">
      <c r="A4" s="10" t="s">
        <v>1485</v>
      </c>
      <c r="B4" s="7">
        <f>SUM(Data_Analyst_Intern_Nikhil_Kumar_February2026[Price After Discount])</f>
        <v>1002796.0500000024</v>
      </c>
    </row>
    <row r="5" spans="1:11" x14ac:dyDescent="0.3">
      <c r="A5" s="10" t="s">
        <v>1505</v>
      </c>
      <c r="B5" s="7">
        <f>B4/B3</f>
        <v>2898.2544797687929</v>
      </c>
    </row>
    <row r="6" spans="1:11" x14ac:dyDescent="0.3">
      <c r="A6" s="10" t="s">
        <v>1486</v>
      </c>
      <c r="B6" s="6">
        <f>SUM(Data_Analyst_Intern_Nikhil_Kumar_February2026[Qty])</f>
        <v>409</v>
      </c>
    </row>
    <row r="7" spans="1:11" x14ac:dyDescent="0.3">
      <c r="A7" s="10" t="s">
        <v>1487</v>
      </c>
      <c r="B7" s="8">
        <f>G8/G9</f>
        <v>0.55045871559633031</v>
      </c>
      <c r="C7" s="15" t="s">
        <v>1492</v>
      </c>
      <c r="D7" s="16"/>
      <c r="E7" t="s">
        <v>1488</v>
      </c>
    </row>
    <row r="8" spans="1:11" x14ac:dyDescent="0.3">
      <c r="E8" s="14" t="s">
        <v>1489</v>
      </c>
      <c r="G8" s="12">
        <f>COUNTIF(Data_Analyst_Intern_Nikhil_Kumar_February2026[Return?], "Yes")</f>
        <v>180</v>
      </c>
    </row>
    <row r="9" spans="1:11" x14ac:dyDescent="0.3">
      <c r="E9" s="14" t="s">
        <v>1490</v>
      </c>
      <c r="G9" s="12">
        <f>COUNTIF(Data_Analyst_Intern_Nikhil_Kumar_February2026[Status],"Delivered")</f>
        <v>327</v>
      </c>
    </row>
    <row r="11" spans="1:11" x14ac:dyDescent="0.3">
      <c r="E11" t="s">
        <v>1491</v>
      </c>
    </row>
    <row r="13" spans="1:11" ht="18" x14ac:dyDescent="0.35">
      <c r="A13" s="13" t="s">
        <v>1500</v>
      </c>
    </row>
    <row r="15" spans="1:11" x14ac:dyDescent="0.3">
      <c r="A15" s="9" t="s">
        <v>1501</v>
      </c>
      <c r="F15" s="9" t="s">
        <v>1503</v>
      </c>
      <c r="K15" s="9" t="s">
        <v>1506</v>
      </c>
    </row>
    <row r="17" spans="1:14" x14ac:dyDescent="0.3">
      <c r="A17" s="11" t="s">
        <v>1498</v>
      </c>
      <c r="B17" s="11" t="s">
        <v>1499</v>
      </c>
      <c r="F17" s="11" t="s">
        <v>1502</v>
      </c>
      <c r="G17" s="11" t="s">
        <v>1499</v>
      </c>
      <c r="K17" s="11" t="s">
        <v>1507</v>
      </c>
      <c r="L17" s="11" t="s">
        <v>1499</v>
      </c>
    </row>
    <row r="18" spans="1:14" x14ac:dyDescent="0.3">
      <c r="A18" s="11" t="s">
        <v>1479</v>
      </c>
      <c r="B18" t="s">
        <v>25</v>
      </c>
      <c r="C18" t="s">
        <v>39</v>
      </c>
      <c r="D18" t="s">
        <v>1497</v>
      </c>
      <c r="F18" s="11" t="s">
        <v>1479</v>
      </c>
      <c r="G18" t="s">
        <v>25</v>
      </c>
      <c r="H18" t="s">
        <v>39</v>
      </c>
      <c r="I18" t="s">
        <v>1497</v>
      </c>
      <c r="K18" s="11" t="s">
        <v>1479</v>
      </c>
      <c r="L18" t="s">
        <v>25</v>
      </c>
      <c r="M18" t="s">
        <v>39</v>
      </c>
      <c r="N18" t="s">
        <v>1497</v>
      </c>
    </row>
    <row r="19" spans="1:14" x14ac:dyDescent="0.3">
      <c r="A19" s="12" t="s">
        <v>1494</v>
      </c>
      <c r="B19" s="23">
        <v>99</v>
      </c>
      <c r="C19" s="23">
        <v>33</v>
      </c>
      <c r="D19" s="23">
        <v>132</v>
      </c>
      <c r="F19" s="12" t="s">
        <v>1494</v>
      </c>
      <c r="G19" s="2">
        <v>252147.74166666658</v>
      </c>
      <c r="H19" s="2">
        <v>107171.13333333332</v>
      </c>
      <c r="I19" s="2">
        <v>359318.87499999988</v>
      </c>
      <c r="K19" s="12" t="s">
        <v>1494</v>
      </c>
      <c r="L19" s="4">
        <v>11.363636363636363</v>
      </c>
      <c r="M19" s="4">
        <v>9.0909090909090917</v>
      </c>
      <c r="N19" s="4">
        <v>10.795454545454545</v>
      </c>
    </row>
    <row r="20" spans="1:14" x14ac:dyDescent="0.3">
      <c r="A20" s="12" t="s">
        <v>1495</v>
      </c>
      <c r="B20" s="23">
        <v>74</v>
      </c>
      <c r="C20" s="23">
        <v>19</v>
      </c>
      <c r="D20" s="23">
        <v>93</v>
      </c>
      <c r="F20" s="12" t="s">
        <v>1495</v>
      </c>
      <c r="G20" s="2">
        <v>222234.87500000003</v>
      </c>
      <c r="H20" s="2">
        <v>50809.700000000004</v>
      </c>
      <c r="I20" s="2">
        <v>273044.57500000001</v>
      </c>
      <c r="K20" s="12" t="s">
        <v>1495</v>
      </c>
      <c r="L20" s="4">
        <v>11.148648648648649</v>
      </c>
      <c r="M20" s="4">
        <v>11.578947368421053</v>
      </c>
      <c r="N20" s="4">
        <v>11.236559139784946</v>
      </c>
    </row>
    <row r="21" spans="1:14" x14ac:dyDescent="0.3">
      <c r="A21" s="12" t="s">
        <v>1496</v>
      </c>
      <c r="B21" s="23">
        <v>97</v>
      </c>
      <c r="C21" s="23">
        <v>24</v>
      </c>
      <c r="D21" s="23">
        <v>121</v>
      </c>
      <c r="F21" s="12" t="s">
        <v>1496</v>
      </c>
      <c r="G21" s="2">
        <v>298985.89999999985</v>
      </c>
      <c r="H21" s="2">
        <v>71446.700000000012</v>
      </c>
      <c r="I21" s="2">
        <v>370432.59999999986</v>
      </c>
      <c r="K21" s="12" t="s">
        <v>1496</v>
      </c>
      <c r="L21" s="4">
        <v>7.2164948453608249</v>
      </c>
      <c r="M21" s="4">
        <v>8.3333333333333339</v>
      </c>
      <c r="N21" s="4">
        <v>7.4380165289256199</v>
      </c>
    </row>
    <row r="22" spans="1:14" x14ac:dyDescent="0.3">
      <c r="A22" s="12" t="s">
        <v>1497</v>
      </c>
      <c r="B22" s="23">
        <v>270</v>
      </c>
      <c r="C22" s="23">
        <v>76</v>
      </c>
      <c r="D22" s="23">
        <v>346</v>
      </c>
      <c r="F22" s="12" t="s">
        <v>1497</v>
      </c>
      <c r="G22" s="2">
        <v>773368.51666666637</v>
      </c>
      <c r="H22" s="2">
        <v>229427.53333333333</v>
      </c>
      <c r="I22" s="2">
        <v>1002796.0499999998</v>
      </c>
      <c r="K22" s="12" t="s">
        <v>1497</v>
      </c>
      <c r="L22" s="4">
        <v>9.8148148148148149</v>
      </c>
      <c r="M22" s="4">
        <v>9.473684210526315</v>
      </c>
      <c r="N22" s="4">
        <v>9.7398843930635834</v>
      </c>
    </row>
    <row r="40" spans="1:1" ht="18" x14ac:dyDescent="0.35">
      <c r="A40" s="13" t="s">
        <v>1509</v>
      </c>
    </row>
    <row r="42" spans="1:1" x14ac:dyDescent="0.3">
      <c r="A42" s="9" t="s">
        <v>1510</v>
      </c>
    </row>
    <row r="43" spans="1:1" x14ac:dyDescent="0.3">
      <c r="A43" s="9" t="s">
        <v>1511</v>
      </c>
    </row>
    <row r="44" spans="1:1" x14ac:dyDescent="0.3">
      <c r="A44" s="9" t="s">
        <v>1512</v>
      </c>
    </row>
    <row r="45" spans="1:1" x14ac:dyDescent="0.3">
      <c r="A45" s="18" t="s">
        <v>1514</v>
      </c>
    </row>
    <row r="46" spans="1:1" x14ac:dyDescent="0.3">
      <c r="A46" s="9" t="s">
        <v>1513</v>
      </c>
    </row>
    <row r="48" spans="1:1" ht="18" x14ac:dyDescent="0.35">
      <c r="A48" s="13" t="s">
        <v>1515</v>
      </c>
    </row>
    <row r="50" spans="1:14" ht="14.4" customHeight="1" x14ac:dyDescent="0.3">
      <c r="A50" s="21" t="s">
        <v>1516</v>
      </c>
      <c r="B50" s="21"/>
      <c r="C50" s="21"/>
      <c r="D50" s="21"/>
      <c r="E50" s="21"/>
      <c r="F50" s="21"/>
      <c r="G50" s="21"/>
      <c r="H50" s="21"/>
      <c r="I50" s="21"/>
      <c r="J50" s="21"/>
      <c r="K50" s="21"/>
      <c r="L50" s="21"/>
      <c r="M50" s="21"/>
      <c r="N50" s="21"/>
    </row>
    <row r="51" spans="1:14" x14ac:dyDescent="0.3">
      <c r="A51" s="21"/>
      <c r="B51" s="21"/>
      <c r="C51" s="21"/>
      <c r="D51" s="21"/>
      <c r="E51" s="21"/>
      <c r="F51" s="21"/>
      <c r="G51" s="21"/>
      <c r="H51" s="21"/>
      <c r="I51" s="21"/>
      <c r="J51" s="21"/>
      <c r="K51" s="21"/>
      <c r="L51" s="21"/>
      <c r="M51" s="21"/>
      <c r="N51" s="21"/>
    </row>
    <row r="52" spans="1:14" x14ac:dyDescent="0.3">
      <c r="A52" s="21"/>
      <c r="B52" s="21"/>
      <c r="C52" s="21"/>
      <c r="D52" s="21"/>
      <c r="E52" s="21"/>
      <c r="F52" s="21"/>
      <c r="G52" s="21"/>
      <c r="H52" s="21"/>
      <c r="I52" s="21"/>
      <c r="J52" s="21"/>
      <c r="K52" s="21"/>
      <c r="L52" s="21"/>
      <c r="M52" s="21"/>
      <c r="N52" s="21"/>
    </row>
    <row r="53" spans="1:14" x14ac:dyDescent="0.3">
      <c r="A53" s="21"/>
      <c r="B53" s="21"/>
      <c r="C53" s="21"/>
      <c r="D53" s="21"/>
      <c r="E53" s="21"/>
      <c r="F53" s="21"/>
      <c r="G53" s="21"/>
      <c r="H53" s="21"/>
      <c r="I53" s="21"/>
      <c r="J53" s="21"/>
      <c r="K53" s="21"/>
      <c r="L53" s="21"/>
      <c r="M53" s="21"/>
      <c r="N53" s="21"/>
    </row>
    <row r="54" spans="1:14" x14ac:dyDescent="0.3">
      <c r="A54" s="19"/>
      <c r="B54" s="19"/>
      <c r="C54" s="19"/>
      <c r="D54" s="19"/>
      <c r="E54" s="19"/>
      <c r="F54" s="19"/>
      <c r="G54" s="19"/>
      <c r="H54" s="19"/>
      <c r="I54" s="19"/>
      <c r="J54" s="19"/>
      <c r="K54" s="19"/>
      <c r="L54" s="19"/>
    </row>
    <row r="56" spans="1:14" ht="23.4" x14ac:dyDescent="0.45">
      <c r="A56" s="22" t="s">
        <v>1517</v>
      </c>
    </row>
    <row r="58" spans="1:14" x14ac:dyDescent="0.3">
      <c r="A58" s="26" t="s">
        <v>1519</v>
      </c>
      <c r="B58" s="26" t="s">
        <v>1518</v>
      </c>
      <c r="C58" s="26" t="s">
        <v>1541</v>
      </c>
    </row>
    <row r="59" spans="1:14" x14ac:dyDescent="0.3">
      <c r="A59" s="28" t="s">
        <v>1525</v>
      </c>
      <c r="B59" s="29">
        <v>28</v>
      </c>
      <c r="C59" s="27">
        <v>0.40740740740740738</v>
      </c>
    </row>
    <row r="60" spans="1:14" x14ac:dyDescent="0.3">
      <c r="A60" s="28" t="s">
        <v>1526</v>
      </c>
      <c r="B60" s="29">
        <v>21</v>
      </c>
      <c r="C60" s="27">
        <v>0.55000000000000004</v>
      </c>
    </row>
    <row r="61" spans="1:14" x14ac:dyDescent="0.3">
      <c r="A61" s="28" t="s">
        <v>1527</v>
      </c>
      <c r="B61" s="29">
        <v>30</v>
      </c>
      <c r="C61" s="27">
        <v>0.39285714285714285</v>
      </c>
    </row>
    <row r="62" spans="1:14" x14ac:dyDescent="0.3">
      <c r="A62" s="28" t="s">
        <v>1528</v>
      </c>
      <c r="B62" s="29">
        <v>28</v>
      </c>
      <c r="C62" s="27">
        <v>0.59259259259259256</v>
      </c>
    </row>
    <row r="63" spans="1:14" x14ac:dyDescent="0.3">
      <c r="A63" s="28" t="s">
        <v>1529</v>
      </c>
      <c r="B63" s="29">
        <v>21</v>
      </c>
      <c r="C63" s="27">
        <v>0.6</v>
      </c>
    </row>
    <row r="64" spans="1:14" x14ac:dyDescent="0.3">
      <c r="A64" s="28" t="s">
        <v>1530</v>
      </c>
      <c r="B64" s="29">
        <v>28</v>
      </c>
      <c r="C64" s="27">
        <v>0.5</v>
      </c>
    </row>
    <row r="65" spans="1:3" x14ac:dyDescent="0.3">
      <c r="A65" s="28" t="s">
        <v>1531</v>
      </c>
      <c r="B65" s="29">
        <v>28</v>
      </c>
      <c r="C65" s="27">
        <v>0.6071428571428571</v>
      </c>
    </row>
    <row r="66" spans="1:3" x14ac:dyDescent="0.3">
      <c r="A66" s="28" t="s">
        <v>1532</v>
      </c>
      <c r="B66" s="29">
        <v>21</v>
      </c>
      <c r="C66" s="27">
        <v>0.55000000000000004</v>
      </c>
    </row>
    <row r="67" spans="1:3" x14ac:dyDescent="0.3">
      <c r="A67" s="28" t="s">
        <v>1533</v>
      </c>
      <c r="B67" s="29">
        <v>27</v>
      </c>
      <c r="C67" s="27">
        <v>0.41666666666666669</v>
      </c>
    </row>
    <row r="68" spans="1:3" x14ac:dyDescent="0.3">
      <c r="A68" s="28" t="s">
        <v>1534</v>
      </c>
      <c r="B68" s="29">
        <v>28</v>
      </c>
      <c r="C68" s="27">
        <v>0.6071428571428571</v>
      </c>
    </row>
    <row r="69" spans="1:3" x14ac:dyDescent="0.3">
      <c r="A69" s="28" t="s">
        <v>1535</v>
      </c>
      <c r="B69" s="29">
        <v>22</v>
      </c>
      <c r="C69" s="27">
        <v>0.61904761904761907</v>
      </c>
    </row>
    <row r="70" spans="1:3" x14ac:dyDescent="0.3">
      <c r="A70" s="28" t="s">
        <v>1536</v>
      </c>
      <c r="B70" s="29">
        <v>33</v>
      </c>
      <c r="C70" s="27">
        <v>0.77419354838709675</v>
      </c>
    </row>
    <row r="71" spans="1:3" x14ac:dyDescent="0.3">
      <c r="A71" s="28" t="s">
        <v>1537</v>
      </c>
      <c r="B71" s="29">
        <v>26</v>
      </c>
      <c r="C71" s="27">
        <v>0.47826086956521741</v>
      </c>
    </row>
    <row r="72" spans="1:3" x14ac:dyDescent="0.3">
      <c r="A72" s="28" t="s">
        <v>1538</v>
      </c>
      <c r="B72" s="29">
        <v>5</v>
      </c>
      <c r="C72" s="27">
        <v>0.6</v>
      </c>
    </row>
    <row r="106" spans="1:1" ht="18" x14ac:dyDescent="0.3">
      <c r="A106" s="30" t="s">
        <v>1542</v>
      </c>
    </row>
    <row r="107" spans="1:1" x14ac:dyDescent="0.3">
      <c r="A107" s="31" t="s">
        <v>1544</v>
      </c>
    </row>
    <row r="108" spans="1:1" x14ac:dyDescent="0.3">
      <c r="A108" s="31" t="s">
        <v>1545</v>
      </c>
    </row>
    <row r="110" spans="1:1" ht="18" x14ac:dyDescent="0.3">
      <c r="A110" s="30" t="s">
        <v>1543</v>
      </c>
    </row>
    <row r="111" spans="1:1" x14ac:dyDescent="0.3">
      <c r="A111" s="31" t="s">
        <v>1546</v>
      </c>
    </row>
    <row r="112" spans="1:1" x14ac:dyDescent="0.3">
      <c r="A112" s="31" t="s">
        <v>1547</v>
      </c>
    </row>
    <row r="113" spans="1:1" x14ac:dyDescent="0.3">
      <c r="A113" s="31" t="s">
        <v>1548</v>
      </c>
    </row>
    <row r="115" spans="1:1" ht="18" x14ac:dyDescent="0.3">
      <c r="A115" s="30" t="s">
        <v>1549</v>
      </c>
    </row>
    <row r="116" spans="1:1" x14ac:dyDescent="0.3">
      <c r="A116" s="31" t="s">
        <v>1550</v>
      </c>
    </row>
    <row r="117" spans="1:1" x14ac:dyDescent="0.3">
      <c r="A117" s="31" t="s">
        <v>1551</v>
      </c>
    </row>
    <row r="120" spans="1:1" ht="18" x14ac:dyDescent="0.3">
      <c r="A120" s="30" t="s">
        <v>1552</v>
      </c>
    </row>
    <row r="122" spans="1:1" x14ac:dyDescent="0.3">
      <c r="A122" s="9" t="s">
        <v>1553</v>
      </c>
    </row>
    <row r="123" spans="1:1" x14ac:dyDescent="0.3">
      <c r="A123" s="9"/>
    </row>
    <row r="124" spans="1:1" x14ac:dyDescent="0.3">
      <c r="A124" s="9" t="s">
        <v>1554</v>
      </c>
    </row>
    <row r="125" spans="1:1" x14ac:dyDescent="0.3">
      <c r="A125" s="31" t="s">
        <v>1555</v>
      </c>
    </row>
    <row r="126" spans="1:1" x14ac:dyDescent="0.3">
      <c r="A126" s="31" t="s">
        <v>1556</v>
      </c>
    </row>
    <row r="127" spans="1:1" x14ac:dyDescent="0.3">
      <c r="A127" s="31" t="s">
        <v>1557</v>
      </c>
    </row>
    <row r="130" spans="1:1" x14ac:dyDescent="0.3">
      <c r="A130" s="9" t="s">
        <v>1558</v>
      </c>
    </row>
    <row r="132" spans="1:1" x14ac:dyDescent="0.3">
      <c r="A132" s="9" t="s">
        <v>1559</v>
      </c>
    </row>
    <row r="133" spans="1:1" x14ac:dyDescent="0.3">
      <c r="A133" s="31"/>
    </row>
    <row r="134" spans="1:1" x14ac:dyDescent="0.3">
      <c r="A134" s="31" t="s">
        <v>1560</v>
      </c>
    </row>
    <row r="135" spans="1:1" x14ac:dyDescent="0.3">
      <c r="A135" s="32" t="s">
        <v>1561</v>
      </c>
    </row>
    <row r="136" spans="1:1" x14ac:dyDescent="0.3">
      <c r="A136" s="32" t="s">
        <v>1562</v>
      </c>
    </row>
    <row r="137" spans="1:1" x14ac:dyDescent="0.3">
      <c r="A137" s="31"/>
    </row>
    <row r="138" spans="1:1" x14ac:dyDescent="0.3">
      <c r="A138" s="31" t="s">
        <v>1563</v>
      </c>
    </row>
    <row r="139" spans="1:1" x14ac:dyDescent="0.3">
      <c r="A139" s="33" t="s">
        <v>1564</v>
      </c>
    </row>
    <row r="140" spans="1:1" x14ac:dyDescent="0.3">
      <c r="A140" s="33" t="s">
        <v>1565</v>
      </c>
    </row>
    <row r="141" spans="1:1" x14ac:dyDescent="0.3">
      <c r="A141" s="31"/>
    </row>
    <row r="142" spans="1:1" x14ac:dyDescent="0.3">
      <c r="A142" s="31" t="s">
        <v>1566</v>
      </c>
    </row>
    <row r="145" spans="1:1" x14ac:dyDescent="0.3">
      <c r="A145" s="9" t="s">
        <v>1567</v>
      </c>
    </row>
    <row r="147" spans="1:1" x14ac:dyDescent="0.3">
      <c r="A147" s="9" t="s">
        <v>1568</v>
      </c>
    </row>
    <row r="148" spans="1:1" x14ac:dyDescent="0.3">
      <c r="A148" s="31"/>
    </row>
    <row r="149" spans="1:1" x14ac:dyDescent="0.3">
      <c r="A149" s="31" t="s">
        <v>1569</v>
      </c>
    </row>
    <row r="150" spans="1:1" x14ac:dyDescent="0.3">
      <c r="A150" s="33" t="s">
        <v>1570</v>
      </c>
    </row>
    <row r="151" spans="1:1" x14ac:dyDescent="0.3">
      <c r="A151" s="33" t="s">
        <v>1571</v>
      </c>
    </row>
    <row r="152" spans="1:1" x14ac:dyDescent="0.3">
      <c r="A152" s="31"/>
    </row>
    <row r="153" spans="1:1" x14ac:dyDescent="0.3">
      <c r="A153" s="31" t="s">
        <v>1572</v>
      </c>
    </row>
    <row r="154" spans="1:1" x14ac:dyDescent="0.3">
      <c r="A154" s="32" t="s">
        <v>1573</v>
      </c>
    </row>
    <row r="155" spans="1:1" x14ac:dyDescent="0.3">
      <c r="A155" s="31"/>
    </row>
    <row r="156" spans="1:1" x14ac:dyDescent="0.3">
      <c r="A156" s="31" t="s">
        <v>1574</v>
      </c>
    </row>
    <row r="159" spans="1:1" ht="18" x14ac:dyDescent="0.35">
      <c r="A159" s="13" t="s">
        <v>1515</v>
      </c>
    </row>
    <row r="161" spans="1:25" x14ac:dyDescent="0.3">
      <c r="A161" s="21" t="s">
        <v>1575</v>
      </c>
      <c r="B161" s="21"/>
      <c r="C161" s="21"/>
      <c r="D161" s="21"/>
      <c r="E161" s="21"/>
      <c r="F161" s="21"/>
      <c r="G161" s="21"/>
      <c r="H161" s="21"/>
      <c r="I161" s="21"/>
      <c r="J161" s="21"/>
      <c r="K161" s="21"/>
      <c r="L161" s="21"/>
    </row>
    <row r="162" spans="1:25" x14ac:dyDescent="0.3">
      <c r="A162" s="21"/>
      <c r="B162" s="21"/>
      <c r="C162" s="21"/>
      <c r="D162" s="21"/>
      <c r="E162" s="21"/>
      <c r="F162" s="21"/>
      <c r="G162" s="21"/>
      <c r="H162" s="21"/>
      <c r="I162" s="21"/>
      <c r="J162" s="21"/>
      <c r="K162" s="21"/>
      <c r="L162" s="21"/>
    </row>
    <row r="163" spans="1:25" x14ac:dyDescent="0.3">
      <c r="A163" s="21"/>
      <c r="B163" s="21"/>
      <c r="C163" s="21"/>
      <c r="D163" s="21"/>
      <c r="E163" s="21"/>
      <c r="F163" s="21"/>
      <c r="G163" s="21"/>
      <c r="H163" s="21"/>
      <c r="I163" s="21"/>
      <c r="J163" s="21"/>
      <c r="K163" s="21"/>
      <c r="L163" s="21"/>
    </row>
    <row r="164" spans="1:25" x14ac:dyDescent="0.3">
      <c r="A164" s="21"/>
      <c r="B164" s="21"/>
      <c r="C164" s="21"/>
      <c r="D164" s="21"/>
      <c r="E164" s="21"/>
      <c r="F164" s="21"/>
      <c r="G164" s="21"/>
      <c r="H164" s="21"/>
      <c r="I164" s="21"/>
      <c r="J164" s="21"/>
      <c r="K164" s="21"/>
      <c r="L164" s="21"/>
    </row>
    <row r="165" spans="1:25" x14ac:dyDescent="0.3">
      <c r="A165" s="21"/>
      <c r="B165" s="21"/>
      <c r="C165" s="21"/>
      <c r="D165" s="21"/>
      <c r="E165" s="21"/>
      <c r="F165" s="21"/>
      <c r="G165" s="21"/>
      <c r="H165" s="21"/>
      <c r="I165" s="21"/>
      <c r="J165" s="21"/>
      <c r="K165" s="21"/>
      <c r="L165" s="21"/>
    </row>
    <row r="166" spans="1:25" x14ac:dyDescent="0.3">
      <c r="A166" s="21"/>
      <c r="B166" s="21"/>
      <c r="C166" s="21"/>
      <c r="D166" s="21"/>
      <c r="E166" s="21"/>
      <c r="F166" s="21"/>
      <c r="G166" s="21"/>
      <c r="H166" s="21"/>
      <c r="I166" s="21"/>
      <c r="J166" s="21"/>
      <c r="K166" s="21"/>
      <c r="L166" s="21"/>
    </row>
    <row r="169" spans="1:25" ht="23.4" x14ac:dyDescent="0.45">
      <c r="A169" s="22" t="s">
        <v>1576</v>
      </c>
    </row>
    <row r="171" spans="1:25" ht="15.6" x14ac:dyDescent="0.3">
      <c r="A171" s="17" t="s">
        <v>1581</v>
      </c>
      <c r="H171" s="17" t="s">
        <v>1582</v>
      </c>
      <c r="O171" s="17" t="s">
        <v>1583</v>
      </c>
      <c r="U171" s="17" t="s">
        <v>1586</v>
      </c>
    </row>
    <row r="173" spans="1:25" x14ac:dyDescent="0.3">
      <c r="A173" s="26" t="s">
        <v>1578</v>
      </c>
      <c r="B173" s="26" t="s">
        <v>1518</v>
      </c>
      <c r="C173" s="26" t="s">
        <v>1577</v>
      </c>
      <c r="D173" s="26" t="s">
        <v>1539</v>
      </c>
      <c r="E173" s="26" t="s">
        <v>1540</v>
      </c>
      <c r="F173" s="26" t="s">
        <v>1543</v>
      </c>
      <c r="H173" s="25" t="s">
        <v>13</v>
      </c>
      <c r="I173" s="25" t="s">
        <v>1518</v>
      </c>
      <c r="J173" s="25" t="s">
        <v>1502</v>
      </c>
      <c r="K173" s="25" t="s">
        <v>1539</v>
      </c>
      <c r="L173" s="25" t="s">
        <v>1540</v>
      </c>
      <c r="M173" s="25" t="s">
        <v>1543</v>
      </c>
      <c r="O173" s="26" t="s">
        <v>1584</v>
      </c>
      <c r="P173" s="26" t="s">
        <v>1518</v>
      </c>
      <c r="Q173" s="26" t="s">
        <v>1539</v>
      </c>
      <c r="R173" s="26" t="s">
        <v>1540</v>
      </c>
      <c r="S173" s="37" t="s">
        <v>1543</v>
      </c>
      <c r="U173" s="26" t="s">
        <v>5</v>
      </c>
      <c r="V173" s="26" t="s">
        <v>1518</v>
      </c>
      <c r="W173" s="26" t="s">
        <v>1539</v>
      </c>
      <c r="X173" s="26" t="s">
        <v>1540</v>
      </c>
      <c r="Y173" s="37" t="s">
        <v>1543</v>
      </c>
    </row>
    <row r="174" spans="1:25" x14ac:dyDescent="0.3">
      <c r="A174" s="6" t="s">
        <v>25</v>
      </c>
      <c r="B174" s="6">
        <v>270</v>
      </c>
      <c r="C174" s="6">
        <v>2864.327839506177</v>
      </c>
      <c r="D174" s="6">
        <v>253</v>
      </c>
      <c r="E174" s="6">
        <v>147</v>
      </c>
      <c r="F174" s="8">
        <f>E174/D174</f>
        <v>0.5810276679841897</v>
      </c>
      <c r="H174" s="6" t="s">
        <v>66</v>
      </c>
      <c r="I174" s="6">
        <v>109</v>
      </c>
      <c r="J174" s="6">
        <v>329347.99166666664</v>
      </c>
      <c r="K174" s="6">
        <v>105</v>
      </c>
      <c r="L174" s="6">
        <v>71</v>
      </c>
      <c r="M174" s="8">
        <f>L174/K174</f>
        <v>0.67619047619047623</v>
      </c>
      <c r="O174" s="6" t="s">
        <v>56</v>
      </c>
      <c r="P174" s="6">
        <v>63</v>
      </c>
      <c r="Q174" s="6">
        <v>46</v>
      </c>
      <c r="R174" s="6">
        <v>38</v>
      </c>
      <c r="S174" s="8">
        <f>R174/Q174</f>
        <v>0.82608695652173914</v>
      </c>
      <c r="U174" s="6" t="s">
        <v>62</v>
      </c>
      <c r="V174" s="6">
        <v>68</v>
      </c>
      <c r="W174" s="6">
        <v>65</v>
      </c>
      <c r="X174" s="6">
        <v>52</v>
      </c>
      <c r="Y174" s="8">
        <f>X174/W174</f>
        <v>0.8</v>
      </c>
    </row>
    <row r="175" spans="1:25" x14ac:dyDescent="0.3">
      <c r="A175" s="6" t="s">
        <v>39</v>
      </c>
      <c r="B175" s="6">
        <v>76</v>
      </c>
      <c r="C175" s="6">
        <v>3018.7833333333315</v>
      </c>
      <c r="D175" s="6">
        <v>75</v>
      </c>
      <c r="E175" s="6">
        <v>33</v>
      </c>
      <c r="F175" s="8">
        <f t="shared" ref="F175" si="0">E175/D175</f>
        <v>0.44</v>
      </c>
      <c r="H175" s="6" t="s">
        <v>45</v>
      </c>
      <c r="I175" s="6">
        <v>116</v>
      </c>
      <c r="J175" s="6">
        <v>323684.89166666655</v>
      </c>
      <c r="K175" s="6">
        <v>108</v>
      </c>
      <c r="L175" s="6">
        <v>61</v>
      </c>
      <c r="M175" s="8">
        <f t="shared" ref="M175:M176" si="1">L175/K175</f>
        <v>0.56481481481481477</v>
      </c>
      <c r="O175" s="6" t="s">
        <v>65</v>
      </c>
      <c r="P175" s="6">
        <v>61</v>
      </c>
      <c r="Q175" s="6">
        <v>60</v>
      </c>
      <c r="R175" s="6">
        <v>43</v>
      </c>
      <c r="S175" s="8">
        <f>R175/Q175</f>
        <v>0.71666666666666667</v>
      </c>
      <c r="U175" s="6" t="s">
        <v>41</v>
      </c>
      <c r="V175" s="6">
        <v>70</v>
      </c>
      <c r="W175" s="6">
        <v>66</v>
      </c>
      <c r="X175" s="6">
        <v>44</v>
      </c>
      <c r="Y175" s="8">
        <f>X175/W175</f>
        <v>0.66666666666666663</v>
      </c>
    </row>
    <row r="176" spans="1:25" x14ac:dyDescent="0.3">
      <c r="A176" s="35"/>
      <c r="B176" s="35"/>
      <c r="C176" s="35"/>
      <c r="D176" s="35"/>
      <c r="E176" s="35"/>
      <c r="F176" s="36"/>
      <c r="H176" s="6" t="s">
        <v>31</v>
      </c>
      <c r="I176" s="6">
        <v>121</v>
      </c>
      <c r="J176" s="6">
        <v>349763.16666666622</v>
      </c>
      <c r="K176" s="6">
        <v>115</v>
      </c>
      <c r="L176" s="6">
        <v>48</v>
      </c>
      <c r="M176" s="8">
        <f t="shared" si="1"/>
        <v>0.41739130434782606</v>
      </c>
      <c r="O176" s="6" t="s">
        <v>44</v>
      </c>
      <c r="P176" s="6">
        <v>88</v>
      </c>
      <c r="Q176" s="6">
        <v>88</v>
      </c>
      <c r="R176" s="6">
        <v>48</v>
      </c>
      <c r="S176" s="8">
        <f>R176/Q176</f>
        <v>0.54545454545454541</v>
      </c>
      <c r="U176" s="6" t="s">
        <v>27</v>
      </c>
      <c r="V176" s="6">
        <v>73</v>
      </c>
      <c r="W176" s="6">
        <v>67</v>
      </c>
      <c r="X176" s="6">
        <v>43</v>
      </c>
      <c r="Y176" s="8">
        <f>X176/W176</f>
        <v>0.64179104477611937</v>
      </c>
    </row>
    <row r="177" spans="1:25" x14ac:dyDescent="0.3">
      <c r="A177" s="35"/>
      <c r="B177" s="35"/>
      <c r="C177" s="35"/>
      <c r="D177" s="35"/>
      <c r="E177" s="35"/>
      <c r="F177" s="36"/>
      <c r="O177" s="6" t="s">
        <v>30</v>
      </c>
      <c r="P177" s="6">
        <v>82</v>
      </c>
      <c r="Q177" s="6">
        <v>82</v>
      </c>
      <c r="R177" s="6">
        <v>35</v>
      </c>
      <c r="S177" s="8">
        <f>R177/Q177</f>
        <v>0.42682926829268292</v>
      </c>
      <c r="U177" s="6" t="s">
        <v>54</v>
      </c>
      <c r="V177" s="6">
        <v>67</v>
      </c>
      <c r="W177" s="6">
        <v>65</v>
      </c>
      <c r="X177" s="6">
        <v>25</v>
      </c>
      <c r="Y177" s="8">
        <f>X177/W177</f>
        <v>0.38461538461538464</v>
      </c>
    </row>
    <row r="178" spans="1:25" x14ac:dyDescent="0.3">
      <c r="A178" s="35"/>
      <c r="B178" s="35"/>
      <c r="C178" s="35"/>
      <c r="D178" s="35"/>
      <c r="E178" s="35"/>
      <c r="F178" s="36"/>
      <c r="O178" s="6" t="s">
        <v>112</v>
      </c>
      <c r="P178" s="6">
        <v>52</v>
      </c>
      <c r="Q178" s="6">
        <v>52</v>
      </c>
      <c r="R178" s="6">
        <v>16</v>
      </c>
      <c r="S178" s="8">
        <f>R178/Q178</f>
        <v>0.30769230769230771</v>
      </c>
      <c r="U178" s="6" t="s">
        <v>72</v>
      </c>
      <c r="V178" s="6">
        <v>68</v>
      </c>
      <c r="W178" s="6">
        <v>65</v>
      </c>
      <c r="X178" s="6">
        <v>16</v>
      </c>
      <c r="Y178" s="8">
        <f>X178/W178</f>
        <v>0.24615384615384617</v>
      </c>
    </row>
    <row r="179" spans="1:25" x14ac:dyDescent="0.3">
      <c r="A179" s="35"/>
      <c r="B179" s="35"/>
      <c r="C179" s="35"/>
      <c r="D179" s="35"/>
      <c r="E179" s="35"/>
      <c r="F179" s="36"/>
      <c r="S179" s="36"/>
    </row>
    <row r="180" spans="1:25" x14ac:dyDescent="0.3">
      <c r="A180" s="35"/>
      <c r="B180" s="35"/>
      <c r="C180" s="35"/>
      <c r="D180" s="35"/>
      <c r="E180" s="35"/>
      <c r="F180" s="36"/>
      <c r="S180" s="36"/>
    </row>
    <row r="181" spans="1:25" x14ac:dyDescent="0.3">
      <c r="A181" s="35"/>
      <c r="B181" s="35"/>
      <c r="C181" s="35"/>
      <c r="D181" s="35"/>
      <c r="E181" s="35"/>
      <c r="F181" s="36"/>
    </row>
    <row r="182" spans="1:25" x14ac:dyDescent="0.3">
      <c r="A182" s="35"/>
      <c r="B182" s="35"/>
      <c r="C182" s="35"/>
      <c r="D182" s="35"/>
      <c r="E182" s="35"/>
      <c r="F182" s="36"/>
    </row>
    <row r="183" spans="1:25" x14ac:dyDescent="0.3">
      <c r="A183" s="35"/>
      <c r="B183" s="35"/>
      <c r="C183" s="35"/>
      <c r="D183" s="35"/>
      <c r="E183" s="35"/>
      <c r="F183" s="36"/>
    </row>
    <row r="184" spans="1:25" x14ac:dyDescent="0.3">
      <c r="A184" s="35"/>
      <c r="B184" s="35"/>
      <c r="C184" s="35"/>
      <c r="D184" s="35"/>
      <c r="E184" s="35"/>
      <c r="F184" s="36"/>
    </row>
    <row r="185" spans="1:25" x14ac:dyDescent="0.3">
      <c r="A185" s="35"/>
      <c r="B185" s="35"/>
      <c r="C185" s="35"/>
      <c r="D185" s="35"/>
      <c r="E185" s="35"/>
      <c r="F185" s="36"/>
    </row>
    <row r="186" spans="1:25" x14ac:dyDescent="0.3">
      <c r="A186" s="35"/>
      <c r="B186" s="35"/>
      <c r="C186" s="35"/>
      <c r="D186" s="35"/>
      <c r="E186" s="35"/>
      <c r="F186" s="36"/>
    </row>
    <row r="187" spans="1:25" x14ac:dyDescent="0.3">
      <c r="A187" s="35"/>
      <c r="B187" s="35"/>
      <c r="C187" s="35"/>
      <c r="D187" s="35"/>
      <c r="E187" s="35"/>
      <c r="F187" s="36"/>
    </row>
    <row r="188" spans="1:25" x14ac:dyDescent="0.3">
      <c r="A188" s="35"/>
      <c r="B188" s="35"/>
      <c r="C188" s="35"/>
      <c r="D188" s="35"/>
      <c r="E188" s="35"/>
      <c r="F188" s="36"/>
    </row>
    <row r="189" spans="1:25" x14ac:dyDescent="0.3">
      <c r="A189" s="35"/>
      <c r="B189" s="35"/>
      <c r="C189" s="35"/>
      <c r="D189" s="35"/>
      <c r="E189" s="35"/>
      <c r="F189" s="36"/>
    </row>
    <row r="190" spans="1:25" x14ac:dyDescent="0.3">
      <c r="A190" s="35"/>
      <c r="B190" s="35"/>
      <c r="C190" s="35"/>
      <c r="D190" s="35"/>
      <c r="E190" s="35"/>
      <c r="F190" s="36"/>
    </row>
    <row r="191" spans="1:25" x14ac:dyDescent="0.3">
      <c r="A191" s="35"/>
      <c r="B191" s="35"/>
      <c r="C191" s="35"/>
      <c r="D191" s="35"/>
      <c r="E191" s="35"/>
      <c r="F191" s="36"/>
    </row>
    <row r="192" spans="1:25" x14ac:dyDescent="0.3">
      <c r="A192" s="35"/>
      <c r="B192" s="35"/>
      <c r="C192" s="35"/>
      <c r="D192" s="35"/>
      <c r="E192" s="35"/>
      <c r="F192" s="36"/>
    </row>
    <row r="193" spans="1:25" x14ac:dyDescent="0.3">
      <c r="A193" s="35"/>
      <c r="B193" s="35"/>
      <c r="C193" s="35"/>
      <c r="D193" s="35"/>
      <c r="E193" s="35"/>
      <c r="F193" s="36"/>
    </row>
    <row r="194" spans="1:25" x14ac:dyDescent="0.3">
      <c r="A194" s="35"/>
      <c r="B194" s="35"/>
      <c r="C194" s="35"/>
      <c r="D194" s="35"/>
      <c r="E194" s="35"/>
      <c r="F194" s="36"/>
    </row>
    <row r="195" spans="1:25" x14ac:dyDescent="0.3">
      <c r="F195" s="24"/>
      <c r="O195" s="34" t="s">
        <v>1585</v>
      </c>
      <c r="P195" s="34"/>
      <c r="Q195" s="34"/>
      <c r="R195" s="34"/>
      <c r="S195" s="34"/>
      <c r="U195" s="34" t="s">
        <v>1587</v>
      </c>
      <c r="V195" s="34"/>
      <c r="W195" s="34"/>
      <c r="X195" s="34"/>
      <c r="Y195" s="34"/>
    </row>
    <row r="196" spans="1:25" x14ac:dyDescent="0.3">
      <c r="A196" s="34" t="s">
        <v>1579</v>
      </c>
      <c r="B196" s="34"/>
      <c r="C196" s="34"/>
      <c r="D196" s="34"/>
      <c r="E196" s="34"/>
      <c r="F196" s="34"/>
      <c r="H196" s="20" t="s">
        <v>1580</v>
      </c>
      <c r="I196" s="20"/>
      <c r="J196" s="20"/>
      <c r="K196" s="20"/>
      <c r="L196" s="20"/>
      <c r="M196" s="20"/>
      <c r="O196" s="34"/>
      <c r="P196" s="34"/>
      <c r="Q196" s="34"/>
      <c r="R196" s="34"/>
      <c r="S196" s="34"/>
      <c r="U196" s="34"/>
      <c r="V196" s="34"/>
      <c r="W196" s="34"/>
      <c r="X196" s="34"/>
      <c r="Y196" s="34"/>
    </row>
    <row r="197" spans="1:25" x14ac:dyDescent="0.3">
      <c r="A197" s="34"/>
      <c r="B197" s="34"/>
      <c r="C197" s="34"/>
      <c r="D197" s="34"/>
      <c r="E197" s="34"/>
      <c r="F197" s="34"/>
      <c r="H197" s="20"/>
      <c r="I197" s="20"/>
      <c r="J197" s="20"/>
      <c r="K197" s="20"/>
      <c r="L197" s="20"/>
      <c r="M197" s="20"/>
      <c r="O197" s="34"/>
      <c r="P197" s="34"/>
      <c r="Q197" s="34"/>
      <c r="R197" s="34"/>
      <c r="S197" s="34"/>
      <c r="U197" s="34"/>
      <c r="V197" s="34"/>
      <c r="W197" s="34"/>
      <c r="X197" s="34"/>
      <c r="Y197" s="34"/>
    </row>
    <row r="198" spans="1:25" x14ac:dyDescent="0.3">
      <c r="A198" s="34"/>
      <c r="B198" s="34"/>
      <c r="C198" s="34"/>
      <c r="D198" s="34"/>
      <c r="E198" s="34"/>
      <c r="F198" s="34"/>
      <c r="H198" s="20"/>
      <c r="I198" s="20"/>
      <c r="J198" s="20"/>
      <c r="K198" s="20"/>
      <c r="L198" s="20"/>
      <c r="M198" s="20"/>
      <c r="O198" s="34"/>
      <c r="P198" s="34"/>
      <c r="Q198" s="34"/>
      <c r="R198" s="34"/>
      <c r="S198" s="34"/>
    </row>
    <row r="202" spans="1:25" ht="18" x14ac:dyDescent="0.35">
      <c r="A202" s="13" t="s">
        <v>1515</v>
      </c>
    </row>
    <row r="204" spans="1:25" x14ac:dyDescent="0.3">
      <c r="A204" t="s">
        <v>1588</v>
      </c>
    </row>
    <row r="207" spans="1:25" ht="23.4" x14ac:dyDescent="0.45">
      <c r="A207" s="22" t="s">
        <v>1590</v>
      </c>
    </row>
    <row r="209" spans="1:4" ht="15.6" x14ac:dyDescent="0.3">
      <c r="A209" s="40" t="s">
        <v>1593</v>
      </c>
      <c r="B209" s="40" t="s">
        <v>1594</v>
      </c>
      <c r="C209" s="40" t="s">
        <v>1595</v>
      </c>
    </row>
    <row r="210" spans="1:4" x14ac:dyDescent="0.3">
      <c r="A210" s="39" t="s">
        <v>1589</v>
      </c>
      <c r="B210" s="6" t="s">
        <v>1596</v>
      </c>
      <c r="C210" s="7">
        <f>SUM(Data_Analyst_Intern_Nikhil_Kumar_February2026[Unit Price])</f>
        <v>967354</v>
      </c>
    </row>
    <row r="211" spans="1:4" x14ac:dyDescent="0.3">
      <c r="A211" s="6" t="s">
        <v>1591</v>
      </c>
      <c r="B211" s="6" t="s">
        <v>1597</v>
      </c>
      <c r="C211" s="7">
        <f>SUM(Data_Analyst_Intern_Nikhil_Kumar_February2026[Price After Discount])</f>
        <v>1002796.0500000024</v>
      </c>
    </row>
    <row r="212" spans="1:4" x14ac:dyDescent="0.3">
      <c r="A212" s="6" t="s">
        <v>1543</v>
      </c>
      <c r="B212" s="6" t="s">
        <v>1598</v>
      </c>
      <c r="C212" s="8">
        <f>COUNTIF(Data_Analyst_Intern_Nikhil_Kumar_February2026[Return?], "Yes") / COUNTIF(Data_Analyst_Intern_Nikhil_Kumar_February2026[Status],"Delivered")</f>
        <v>0.55045871559633031</v>
      </c>
    </row>
    <row r="213" spans="1:4" x14ac:dyDescent="0.3">
      <c r="A213" s="6" t="s">
        <v>1592</v>
      </c>
      <c r="B213" s="6" t="s">
        <v>1599</v>
      </c>
      <c r="C213" s="8">
        <f>COUNTIF(Data_Analyst_Intern_Nikhil_Kumar_February2026[Status], "RTO")/COUNTA(Data_Analyst_Intern_Nikhil_Kumar_February2026[Order ID])</f>
        <v>4.9132947976878616E-2</v>
      </c>
    </row>
    <row r="214" spans="1:4" x14ac:dyDescent="0.3">
      <c r="A214" s="6" t="s">
        <v>1600</v>
      </c>
      <c r="B214" s="6" t="s">
        <v>1601</v>
      </c>
      <c r="C214" s="8">
        <f>COUNTIF(Data_Analyst_Intern_Nikhil_Kumar_February2026[Refund],"Processed")/COUNTA(urbanthreads_q4!AH:AH)</f>
        <v>0.95580110497237569</v>
      </c>
    </row>
    <row r="215" spans="1:4" x14ac:dyDescent="0.3">
      <c r="A215" s="6" t="s">
        <v>1602</v>
      </c>
      <c r="B215" s="6" t="s">
        <v>1603</v>
      </c>
      <c r="C215" s="8">
        <f>COUNTIF(Data_Analyst_Intern_Nikhil_Kumar_February2026[Return?], "Yes")/COUNTA(Data_Analyst_Intern_Nikhil_Kumar_February2026[Order ID])</f>
        <v>0.52023121387283233</v>
      </c>
    </row>
    <row r="216" spans="1:4" x14ac:dyDescent="0.3">
      <c r="A216" s="6" t="s">
        <v>1604</v>
      </c>
      <c r="B216" s="6" t="s">
        <v>1605</v>
      </c>
      <c r="C216" s="8">
        <v>0.51895043731778423</v>
      </c>
    </row>
    <row r="218" spans="1:4" ht="15.6" x14ac:dyDescent="0.3">
      <c r="A218" s="38" t="s">
        <v>1606</v>
      </c>
      <c r="B218" s="38"/>
      <c r="C218" s="38"/>
    </row>
    <row r="219" spans="1:4" x14ac:dyDescent="0.3">
      <c r="A219" s="26" t="s">
        <v>14</v>
      </c>
      <c r="B219" s="26" t="s">
        <v>1484</v>
      </c>
      <c r="C219" s="26" t="s">
        <v>1607</v>
      </c>
    </row>
    <row r="220" spans="1:4" x14ac:dyDescent="0.3">
      <c r="A220" s="6" t="s">
        <v>57</v>
      </c>
      <c r="B220" s="6">
        <v>93</v>
      </c>
      <c r="C220" s="8">
        <v>0.26878612716763006</v>
      </c>
    </row>
    <row r="221" spans="1:4" x14ac:dyDescent="0.3">
      <c r="A221" s="6" t="s">
        <v>46</v>
      </c>
      <c r="B221" s="6">
        <v>132</v>
      </c>
      <c r="C221" s="8">
        <v>0.38150289017341038</v>
      </c>
    </row>
    <row r="222" spans="1:4" x14ac:dyDescent="0.3">
      <c r="A222" s="6" t="s">
        <v>32</v>
      </c>
      <c r="B222" s="6">
        <v>121</v>
      </c>
      <c r="C222" s="8">
        <v>0.34971098265895956</v>
      </c>
    </row>
    <row r="224" spans="1:4" x14ac:dyDescent="0.3">
      <c r="A224" s="20" t="s">
        <v>1608</v>
      </c>
      <c r="B224" s="20"/>
      <c r="C224" s="20"/>
      <c r="D224" s="20"/>
    </row>
    <row r="225" spans="1:5" x14ac:dyDescent="0.3">
      <c r="A225" s="20"/>
      <c r="B225" s="20"/>
      <c r="C225" s="20"/>
      <c r="D225" s="20"/>
    </row>
    <row r="226" spans="1:5" x14ac:dyDescent="0.3">
      <c r="A226" s="20"/>
      <c r="B226" s="20"/>
      <c r="C226" s="20"/>
      <c r="D226" s="20"/>
    </row>
    <row r="227" spans="1:5" x14ac:dyDescent="0.3">
      <c r="A227" s="20"/>
      <c r="B227" s="20"/>
      <c r="C227" s="20"/>
      <c r="D227" s="20"/>
    </row>
    <row r="230" spans="1:5" ht="23.4" x14ac:dyDescent="0.45">
      <c r="A230" s="22" t="s">
        <v>1609</v>
      </c>
    </row>
    <row r="232" spans="1:5" x14ac:dyDescent="0.3">
      <c r="A232" s="41" t="s">
        <v>1610</v>
      </c>
    </row>
    <row r="234" spans="1:5" ht="14.4" customHeight="1" x14ac:dyDescent="0.3">
      <c r="A234" s="34" t="s">
        <v>1613</v>
      </c>
      <c r="B234" s="34"/>
      <c r="C234" s="34"/>
      <c r="D234" s="34"/>
      <c r="E234" s="34"/>
    </row>
    <row r="235" spans="1:5" x14ac:dyDescent="0.3">
      <c r="A235" s="34"/>
      <c r="B235" s="34"/>
      <c r="C235" s="34"/>
      <c r="D235" s="34"/>
      <c r="E235" s="34"/>
    </row>
    <row r="236" spans="1:5" x14ac:dyDescent="0.3">
      <c r="A236" s="34"/>
      <c r="B236" s="34"/>
      <c r="C236" s="34"/>
      <c r="D236" s="34"/>
      <c r="E236" s="34"/>
    </row>
    <row r="237" spans="1:5" x14ac:dyDescent="0.3">
      <c r="A237" s="34"/>
      <c r="B237" s="34"/>
      <c r="C237" s="34"/>
      <c r="D237" s="34"/>
      <c r="E237" s="34"/>
    </row>
    <row r="238" spans="1:5" x14ac:dyDescent="0.3">
      <c r="A238" s="34"/>
      <c r="B238" s="34"/>
      <c r="C238" s="34"/>
      <c r="D238" s="34"/>
      <c r="E238" s="34"/>
    </row>
    <row r="241" spans="1:5" x14ac:dyDescent="0.3">
      <c r="A241" s="9" t="s">
        <v>1611</v>
      </c>
    </row>
    <row r="243" spans="1:5" x14ac:dyDescent="0.3">
      <c r="A243" s="34" t="s">
        <v>1612</v>
      </c>
      <c r="B243" s="34"/>
      <c r="C243" s="34"/>
      <c r="D243" s="34"/>
      <c r="E243" s="34"/>
    </row>
    <row r="244" spans="1:5" x14ac:dyDescent="0.3">
      <c r="A244" s="34"/>
      <c r="B244" s="34"/>
      <c r="C244" s="34"/>
      <c r="D244" s="34"/>
      <c r="E244" s="34"/>
    </row>
    <row r="245" spans="1:5" x14ac:dyDescent="0.3">
      <c r="A245" s="34"/>
      <c r="B245" s="34"/>
      <c r="C245" s="34"/>
      <c r="D245" s="34"/>
      <c r="E245" s="34"/>
    </row>
    <row r="246" spans="1:5" x14ac:dyDescent="0.3">
      <c r="A246" s="34"/>
      <c r="B246" s="34"/>
      <c r="C246" s="34"/>
      <c r="D246" s="34"/>
      <c r="E246" s="34"/>
    </row>
    <row r="247" spans="1:5" x14ac:dyDescent="0.3">
      <c r="A247" s="34"/>
      <c r="B247" s="34"/>
      <c r="C247" s="34"/>
      <c r="D247" s="34"/>
      <c r="E247" s="34"/>
    </row>
    <row r="248" spans="1:5" x14ac:dyDescent="0.3">
      <c r="A248" s="34"/>
      <c r="B248" s="34"/>
      <c r="C248" s="34"/>
      <c r="D248" s="34"/>
      <c r="E248" s="34"/>
    </row>
    <row r="250" spans="1:5" x14ac:dyDescent="0.3">
      <c r="A250" s="41" t="s">
        <v>1614</v>
      </c>
    </row>
    <row r="252" spans="1:5" x14ac:dyDescent="0.3">
      <c r="A252" s="34" t="s">
        <v>1615</v>
      </c>
      <c r="B252" s="34"/>
      <c r="C252" s="34"/>
      <c r="D252" s="34"/>
      <c r="E252" s="34"/>
    </row>
    <row r="253" spans="1:5" x14ac:dyDescent="0.3">
      <c r="A253" s="34"/>
      <c r="B253" s="34"/>
      <c r="C253" s="34"/>
      <c r="D253" s="34"/>
      <c r="E253" s="34"/>
    </row>
    <row r="254" spans="1:5" x14ac:dyDescent="0.3">
      <c r="A254" s="34"/>
      <c r="B254" s="34"/>
      <c r="C254" s="34"/>
      <c r="D254" s="34"/>
      <c r="E254" s="34"/>
    </row>
    <row r="255" spans="1:5" x14ac:dyDescent="0.3">
      <c r="A255" s="34"/>
      <c r="B255" s="34"/>
      <c r="C255" s="34"/>
      <c r="D255" s="34"/>
      <c r="E255" s="34"/>
    </row>
    <row r="256" spans="1:5" x14ac:dyDescent="0.3">
      <c r="A256" s="34"/>
      <c r="B256" s="34"/>
      <c r="C256" s="34"/>
      <c r="D256" s="34"/>
      <c r="E256" s="34"/>
    </row>
    <row r="257" spans="1:5" x14ac:dyDescent="0.3">
      <c r="A257" s="34"/>
      <c r="B257" s="34"/>
      <c r="C257" s="34"/>
      <c r="D257" s="34"/>
      <c r="E257" s="34"/>
    </row>
  </sheetData>
  <sortState xmlns:xlrd2="http://schemas.microsoft.com/office/spreadsheetml/2017/richdata2" ref="U174:Y178">
    <sortCondition descending="1" ref="Y174:Y178"/>
  </sortState>
  <mergeCells count="12">
    <mergeCell ref="A234:E238"/>
    <mergeCell ref="A243:E248"/>
    <mergeCell ref="A252:E257"/>
    <mergeCell ref="A218:C218"/>
    <mergeCell ref="A224:D227"/>
    <mergeCell ref="O195:S198"/>
    <mergeCell ref="U195:Y197"/>
    <mergeCell ref="H196:M198"/>
    <mergeCell ref="A196:F198"/>
    <mergeCell ref="A161:L166"/>
    <mergeCell ref="C7:D7"/>
    <mergeCell ref="A50:N53"/>
  </mergeCell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6560-4625-43CD-9792-C7D10EF0341A}">
  <dimension ref="A1:L111"/>
  <sheetViews>
    <sheetView showGridLines="0" zoomScale="85" zoomScaleNormal="85" workbookViewId="0">
      <selection activeCell="AE60" sqref="AE60"/>
    </sheetView>
  </sheetViews>
  <sheetFormatPr defaultRowHeight="14.4" x14ac:dyDescent="0.3"/>
  <cols>
    <col min="1" max="1" width="143.5546875" bestFit="1" customWidth="1"/>
    <col min="2" max="2" width="18.21875" bestFit="1" customWidth="1"/>
    <col min="3" max="3" width="20.44140625" bestFit="1" customWidth="1"/>
  </cols>
  <sheetData>
    <row r="1" spans="1:3" ht="23.4" x14ac:dyDescent="0.45">
      <c r="A1" s="22" t="s">
        <v>1517</v>
      </c>
    </row>
    <row r="3" spans="1:3" x14ac:dyDescent="0.3">
      <c r="A3" s="26" t="s">
        <v>1519</v>
      </c>
      <c r="B3" s="26" t="s">
        <v>1518</v>
      </c>
      <c r="C3" s="26" t="s">
        <v>1541</v>
      </c>
    </row>
    <row r="4" spans="1:3" x14ac:dyDescent="0.3">
      <c r="A4" s="28" t="s">
        <v>1525</v>
      </c>
      <c r="B4" s="29">
        <v>28</v>
      </c>
      <c r="C4" s="27">
        <v>0.40740740740740738</v>
      </c>
    </row>
    <row r="5" spans="1:3" x14ac:dyDescent="0.3">
      <c r="A5" s="28" t="s">
        <v>1526</v>
      </c>
      <c r="B5" s="29">
        <v>21</v>
      </c>
      <c r="C5" s="27">
        <v>0.55000000000000004</v>
      </c>
    </row>
    <row r="6" spans="1:3" x14ac:dyDescent="0.3">
      <c r="A6" s="28" t="s">
        <v>1527</v>
      </c>
      <c r="B6" s="29">
        <v>30</v>
      </c>
      <c r="C6" s="27">
        <v>0.39285714285714285</v>
      </c>
    </row>
    <row r="7" spans="1:3" x14ac:dyDescent="0.3">
      <c r="A7" s="28" t="s">
        <v>1528</v>
      </c>
      <c r="B7" s="29">
        <v>28</v>
      </c>
      <c r="C7" s="27">
        <v>0.59259259259259256</v>
      </c>
    </row>
    <row r="8" spans="1:3" x14ac:dyDescent="0.3">
      <c r="A8" s="28" t="s">
        <v>1529</v>
      </c>
      <c r="B8" s="29">
        <v>21</v>
      </c>
      <c r="C8" s="27">
        <v>0.6</v>
      </c>
    </row>
    <row r="9" spans="1:3" x14ac:dyDescent="0.3">
      <c r="A9" s="28" t="s">
        <v>1530</v>
      </c>
      <c r="B9" s="29">
        <v>28</v>
      </c>
      <c r="C9" s="27">
        <v>0.5</v>
      </c>
    </row>
    <row r="10" spans="1:3" x14ac:dyDescent="0.3">
      <c r="A10" s="28" t="s">
        <v>1531</v>
      </c>
      <c r="B10" s="29">
        <v>28</v>
      </c>
      <c r="C10" s="27">
        <v>0.6071428571428571</v>
      </c>
    </row>
    <row r="11" spans="1:3" x14ac:dyDescent="0.3">
      <c r="A11" s="28" t="s">
        <v>1532</v>
      </c>
      <c r="B11" s="29">
        <v>21</v>
      </c>
      <c r="C11" s="27">
        <v>0.55000000000000004</v>
      </c>
    </row>
    <row r="12" spans="1:3" x14ac:dyDescent="0.3">
      <c r="A12" s="28" t="s">
        <v>1533</v>
      </c>
      <c r="B12" s="29">
        <v>27</v>
      </c>
      <c r="C12" s="27">
        <v>0.41666666666666669</v>
      </c>
    </row>
    <row r="13" spans="1:3" x14ac:dyDescent="0.3">
      <c r="A13" s="28" t="s">
        <v>1534</v>
      </c>
      <c r="B13" s="29">
        <v>28</v>
      </c>
      <c r="C13" s="27">
        <v>0.6071428571428571</v>
      </c>
    </row>
    <row r="14" spans="1:3" x14ac:dyDescent="0.3">
      <c r="A14" s="28" t="s">
        <v>1535</v>
      </c>
      <c r="B14" s="29">
        <v>22</v>
      </c>
      <c r="C14" s="27">
        <v>0.61904761904761907</v>
      </c>
    </row>
    <row r="15" spans="1:3" x14ac:dyDescent="0.3">
      <c r="A15" s="28" t="s">
        <v>1536</v>
      </c>
      <c r="B15" s="29">
        <v>33</v>
      </c>
      <c r="C15" s="27">
        <v>0.77419354838709675</v>
      </c>
    </row>
    <row r="16" spans="1:3" x14ac:dyDescent="0.3">
      <c r="A16" s="28" t="s">
        <v>1537</v>
      </c>
      <c r="B16" s="29">
        <v>26</v>
      </c>
      <c r="C16" s="27">
        <v>0.47826086956521741</v>
      </c>
    </row>
    <row r="17" spans="1:3" x14ac:dyDescent="0.3">
      <c r="A17" s="28" t="s">
        <v>1538</v>
      </c>
      <c r="B17" s="29">
        <v>5</v>
      </c>
      <c r="C17" s="27">
        <v>0.6</v>
      </c>
    </row>
    <row r="51" spans="1:1" ht="18" x14ac:dyDescent="0.3">
      <c r="A51" s="30" t="s">
        <v>1542</v>
      </c>
    </row>
    <row r="52" spans="1:1" x14ac:dyDescent="0.3">
      <c r="A52" s="31" t="s">
        <v>1544</v>
      </c>
    </row>
    <row r="53" spans="1:1" x14ac:dyDescent="0.3">
      <c r="A53" s="31" t="s">
        <v>1545</v>
      </c>
    </row>
    <row r="55" spans="1:1" ht="18" x14ac:dyDescent="0.3">
      <c r="A55" s="30" t="s">
        <v>1543</v>
      </c>
    </row>
    <row r="56" spans="1:1" x14ac:dyDescent="0.3">
      <c r="A56" s="31" t="s">
        <v>1546</v>
      </c>
    </row>
    <row r="57" spans="1:1" x14ac:dyDescent="0.3">
      <c r="A57" s="31" t="s">
        <v>1547</v>
      </c>
    </row>
    <row r="58" spans="1:1" x14ac:dyDescent="0.3">
      <c r="A58" s="31" t="s">
        <v>1548</v>
      </c>
    </row>
    <row r="60" spans="1:1" ht="18" x14ac:dyDescent="0.3">
      <c r="A60" s="30" t="s">
        <v>1549</v>
      </c>
    </row>
    <row r="61" spans="1:1" x14ac:dyDescent="0.3">
      <c r="A61" s="31" t="s">
        <v>1550</v>
      </c>
    </row>
    <row r="62" spans="1:1" x14ac:dyDescent="0.3">
      <c r="A62" s="31" t="s">
        <v>1551</v>
      </c>
    </row>
    <row r="65" spans="1:1" ht="18" x14ac:dyDescent="0.3">
      <c r="A65" s="30" t="s">
        <v>1552</v>
      </c>
    </row>
    <row r="67" spans="1:1" x14ac:dyDescent="0.3">
      <c r="A67" s="9" t="s">
        <v>1553</v>
      </c>
    </row>
    <row r="68" spans="1:1" x14ac:dyDescent="0.3">
      <c r="A68" s="9"/>
    </row>
    <row r="69" spans="1:1" x14ac:dyDescent="0.3">
      <c r="A69" s="9" t="s">
        <v>1554</v>
      </c>
    </row>
    <row r="70" spans="1:1" x14ac:dyDescent="0.3">
      <c r="A70" s="31" t="s">
        <v>1555</v>
      </c>
    </row>
    <row r="71" spans="1:1" x14ac:dyDescent="0.3">
      <c r="A71" s="31" t="s">
        <v>1556</v>
      </c>
    </row>
    <row r="72" spans="1:1" x14ac:dyDescent="0.3">
      <c r="A72" s="31" t="s">
        <v>1557</v>
      </c>
    </row>
    <row r="75" spans="1:1" x14ac:dyDescent="0.3">
      <c r="A75" s="9" t="s">
        <v>1558</v>
      </c>
    </row>
    <row r="77" spans="1:1" x14ac:dyDescent="0.3">
      <c r="A77" s="9" t="s">
        <v>1559</v>
      </c>
    </row>
    <row r="78" spans="1:1" x14ac:dyDescent="0.3">
      <c r="A78" s="31"/>
    </row>
    <row r="79" spans="1:1" x14ac:dyDescent="0.3">
      <c r="A79" s="31" t="s">
        <v>1560</v>
      </c>
    </row>
    <row r="80" spans="1:1" x14ac:dyDescent="0.3">
      <c r="A80" s="32" t="s">
        <v>1561</v>
      </c>
    </row>
    <row r="81" spans="1:1" x14ac:dyDescent="0.3">
      <c r="A81" s="32" t="s">
        <v>1562</v>
      </c>
    </row>
    <row r="82" spans="1:1" x14ac:dyDescent="0.3">
      <c r="A82" s="31"/>
    </row>
    <row r="83" spans="1:1" x14ac:dyDescent="0.3">
      <c r="A83" s="31" t="s">
        <v>1563</v>
      </c>
    </row>
    <row r="84" spans="1:1" x14ac:dyDescent="0.3">
      <c r="A84" s="33" t="s">
        <v>1564</v>
      </c>
    </row>
    <row r="85" spans="1:1" x14ac:dyDescent="0.3">
      <c r="A85" s="33" t="s">
        <v>1565</v>
      </c>
    </row>
    <row r="86" spans="1:1" x14ac:dyDescent="0.3">
      <c r="A86" s="31"/>
    </row>
    <row r="87" spans="1:1" x14ac:dyDescent="0.3">
      <c r="A87" s="31" t="s">
        <v>1566</v>
      </c>
    </row>
    <row r="90" spans="1:1" x14ac:dyDescent="0.3">
      <c r="A90" s="9" t="s">
        <v>1567</v>
      </c>
    </row>
    <row r="92" spans="1:1" x14ac:dyDescent="0.3">
      <c r="A92" s="9" t="s">
        <v>1568</v>
      </c>
    </row>
    <row r="93" spans="1:1" x14ac:dyDescent="0.3">
      <c r="A93" s="31"/>
    </row>
    <row r="94" spans="1:1" x14ac:dyDescent="0.3">
      <c r="A94" s="31" t="s">
        <v>1569</v>
      </c>
    </row>
    <row r="95" spans="1:1" x14ac:dyDescent="0.3">
      <c r="A95" s="33" t="s">
        <v>1570</v>
      </c>
    </row>
    <row r="96" spans="1:1" x14ac:dyDescent="0.3">
      <c r="A96" s="33" t="s">
        <v>1571</v>
      </c>
    </row>
    <row r="97" spans="1:12" x14ac:dyDescent="0.3">
      <c r="A97" s="31"/>
    </row>
    <row r="98" spans="1:12" x14ac:dyDescent="0.3">
      <c r="A98" s="31" t="s">
        <v>1572</v>
      </c>
    </row>
    <row r="99" spans="1:12" x14ac:dyDescent="0.3">
      <c r="A99" s="32" t="s">
        <v>1573</v>
      </c>
    </row>
    <row r="100" spans="1:12" x14ac:dyDescent="0.3">
      <c r="A100" s="31"/>
    </row>
    <row r="101" spans="1:12" x14ac:dyDescent="0.3">
      <c r="A101" s="31" t="s">
        <v>1574</v>
      </c>
    </row>
    <row r="104" spans="1:12" ht="18" x14ac:dyDescent="0.35">
      <c r="A104" s="13" t="s">
        <v>1515</v>
      </c>
    </row>
    <row r="106" spans="1:12" x14ac:dyDescent="0.3">
      <c r="A106" s="21" t="s">
        <v>1575</v>
      </c>
      <c r="B106" s="21"/>
      <c r="C106" s="21"/>
      <c r="D106" s="21"/>
      <c r="E106" s="21"/>
      <c r="F106" s="21"/>
      <c r="G106" s="21"/>
      <c r="H106" s="21"/>
      <c r="I106" s="21"/>
      <c r="J106" s="21"/>
      <c r="K106" s="21"/>
      <c r="L106" s="21"/>
    </row>
    <row r="107" spans="1:12" x14ac:dyDescent="0.3">
      <c r="A107" s="21"/>
      <c r="B107" s="21"/>
      <c r="C107" s="21"/>
      <c r="D107" s="21"/>
      <c r="E107" s="21"/>
      <c r="F107" s="21"/>
      <c r="G107" s="21"/>
      <c r="H107" s="21"/>
      <c r="I107" s="21"/>
      <c r="J107" s="21"/>
      <c r="K107" s="21"/>
      <c r="L107" s="21"/>
    </row>
    <row r="108" spans="1:12" x14ac:dyDescent="0.3">
      <c r="A108" s="21"/>
      <c r="B108" s="21"/>
      <c r="C108" s="21"/>
      <c r="D108" s="21"/>
      <c r="E108" s="21"/>
      <c r="F108" s="21"/>
      <c r="G108" s="21"/>
      <c r="H108" s="21"/>
      <c r="I108" s="21"/>
      <c r="J108" s="21"/>
      <c r="K108" s="21"/>
      <c r="L108" s="21"/>
    </row>
    <row r="109" spans="1:12" x14ac:dyDescent="0.3">
      <c r="A109" s="21"/>
      <c r="B109" s="21"/>
      <c r="C109" s="21"/>
      <c r="D109" s="21"/>
      <c r="E109" s="21"/>
      <c r="F109" s="21"/>
      <c r="G109" s="21"/>
      <c r="H109" s="21"/>
      <c r="I109" s="21"/>
      <c r="J109" s="21"/>
      <c r="K109" s="21"/>
      <c r="L109" s="21"/>
    </row>
    <row r="110" spans="1:12" x14ac:dyDescent="0.3">
      <c r="A110" s="21"/>
      <c r="B110" s="21"/>
      <c r="C110" s="21"/>
      <c r="D110" s="21"/>
      <c r="E110" s="21"/>
      <c r="F110" s="21"/>
      <c r="G110" s="21"/>
      <c r="H110" s="21"/>
      <c r="I110" s="21"/>
      <c r="J110" s="21"/>
      <c r="K110" s="21"/>
      <c r="L110" s="21"/>
    </row>
    <row r="111" spans="1:12" x14ac:dyDescent="0.3">
      <c r="A111" s="21"/>
      <c r="B111" s="21"/>
      <c r="C111" s="21"/>
      <c r="D111" s="21"/>
      <c r="E111" s="21"/>
      <c r="F111" s="21"/>
      <c r="G111" s="21"/>
      <c r="H111" s="21"/>
      <c r="I111" s="21"/>
      <c r="J111" s="21"/>
      <c r="K111" s="21"/>
      <c r="L111" s="21"/>
    </row>
  </sheetData>
  <mergeCells count="1">
    <mergeCell ref="A106:L1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5FAA0-5FC9-459E-828F-DEF72B08A784}">
  <dimension ref="A1:Y36"/>
  <sheetViews>
    <sheetView showGridLines="0" workbookViewId="0">
      <selection activeCell="E32" sqref="E32"/>
    </sheetView>
  </sheetViews>
  <sheetFormatPr defaultRowHeight="14.4" x14ac:dyDescent="0.3"/>
  <cols>
    <col min="1" max="1" width="15.44140625" customWidth="1"/>
    <col min="2" max="2" width="16.6640625" bestFit="1" customWidth="1"/>
    <col min="3" max="3" width="29.44140625" bestFit="1" customWidth="1"/>
    <col min="4" max="4" width="20.77734375" bestFit="1" customWidth="1"/>
    <col min="5" max="5" width="18" bestFit="1" customWidth="1"/>
    <col min="6" max="6" width="11.5546875" bestFit="1" customWidth="1"/>
    <col min="8" max="8" width="14.5546875" bestFit="1" customWidth="1"/>
    <col min="9" max="9" width="16.6640625" bestFit="1" customWidth="1"/>
    <col min="10" max="10" width="26.21875" bestFit="1" customWidth="1"/>
    <col min="11" max="11" width="20.77734375" bestFit="1" customWidth="1"/>
    <col min="12" max="12" width="18" bestFit="1" customWidth="1"/>
    <col min="13" max="13" width="11.5546875" bestFit="1" customWidth="1"/>
    <col min="15" max="15" width="10.77734375" bestFit="1" customWidth="1"/>
    <col min="16" max="16" width="16.6640625" bestFit="1" customWidth="1"/>
    <col min="17" max="17" width="20.77734375" bestFit="1" customWidth="1"/>
    <col min="18" max="18" width="18" bestFit="1" customWidth="1"/>
    <col min="19" max="19" width="11.5546875" bestFit="1" customWidth="1"/>
    <col min="21" max="21" width="11.21875" bestFit="1" customWidth="1"/>
    <col min="22" max="22" width="16.6640625" bestFit="1" customWidth="1"/>
    <col min="23" max="23" width="20.77734375" bestFit="1" customWidth="1"/>
    <col min="24" max="24" width="18" bestFit="1" customWidth="1"/>
    <col min="25" max="25" width="11.5546875" bestFit="1" customWidth="1"/>
  </cols>
  <sheetData>
    <row r="1" spans="1:25" ht="23.4" x14ac:dyDescent="0.45">
      <c r="A1" s="22" t="s">
        <v>1576</v>
      </c>
    </row>
    <row r="3" spans="1:25" ht="15.6" x14ac:dyDescent="0.3">
      <c r="A3" s="17" t="s">
        <v>1581</v>
      </c>
      <c r="H3" s="17" t="s">
        <v>1582</v>
      </c>
      <c r="O3" s="17" t="s">
        <v>1583</v>
      </c>
      <c r="U3" s="17" t="s">
        <v>1586</v>
      </c>
    </row>
    <row r="5" spans="1:25" x14ac:dyDescent="0.3">
      <c r="A5" s="26" t="s">
        <v>1578</v>
      </c>
      <c r="B5" s="26" t="s">
        <v>1518</v>
      </c>
      <c r="C5" s="26" t="s">
        <v>1577</v>
      </c>
      <c r="D5" s="26" t="s">
        <v>1539</v>
      </c>
      <c r="E5" s="26" t="s">
        <v>1540</v>
      </c>
      <c r="F5" s="26" t="s">
        <v>1543</v>
      </c>
      <c r="H5" s="25" t="s">
        <v>13</v>
      </c>
      <c r="I5" s="25" t="s">
        <v>1518</v>
      </c>
      <c r="J5" s="25" t="s">
        <v>1502</v>
      </c>
      <c r="K5" s="25" t="s">
        <v>1539</v>
      </c>
      <c r="L5" s="25" t="s">
        <v>1540</v>
      </c>
      <c r="M5" s="25" t="s">
        <v>1543</v>
      </c>
      <c r="O5" s="26" t="s">
        <v>1584</v>
      </c>
      <c r="P5" s="26" t="s">
        <v>1518</v>
      </c>
      <c r="Q5" s="26" t="s">
        <v>1539</v>
      </c>
      <c r="R5" s="26" t="s">
        <v>1540</v>
      </c>
      <c r="S5" s="37" t="s">
        <v>1543</v>
      </c>
      <c r="U5" s="26" t="s">
        <v>5</v>
      </c>
      <c r="V5" s="26" t="s">
        <v>1518</v>
      </c>
      <c r="W5" s="26" t="s">
        <v>1539</v>
      </c>
      <c r="X5" s="26" t="s">
        <v>1540</v>
      </c>
      <c r="Y5" s="37" t="s">
        <v>1543</v>
      </c>
    </row>
    <row r="6" spans="1:25" x14ac:dyDescent="0.3">
      <c r="A6" s="6" t="s">
        <v>25</v>
      </c>
      <c r="B6" s="6">
        <v>270</v>
      </c>
      <c r="C6" s="6">
        <v>2864.327839506177</v>
      </c>
      <c r="D6" s="6">
        <v>253</v>
      </c>
      <c r="E6" s="6">
        <v>147</v>
      </c>
      <c r="F6" s="8">
        <v>0.5810276679841897</v>
      </c>
      <c r="H6" s="6" t="s">
        <v>66</v>
      </c>
      <c r="I6" s="6">
        <v>109</v>
      </c>
      <c r="J6" s="6">
        <v>329347.99166666664</v>
      </c>
      <c r="K6" s="6">
        <v>105</v>
      </c>
      <c r="L6" s="6">
        <v>71</v>
      </c>
      <c r="M6" s="8">
        <v>0.67619047619047623</v>
      </c>
      <c r="O6" s="6" t="s">
        <v>56</v>
      </c>
      <c r="P6" s="6">
        <v>63</v>
      </c>
      <c r="Q6" s="6">
        <v>46</v>
      </c>
      <c r="R6" s="6">
        <v>38</v>
      </c>
      <c r="S6" s="8">
        <v>0.82608695652173914</v>
      </c>
      <c r="U6" s="6" t="s">
        <v>62</v>
      </c>
      <c r="V6" s="6">
        <v>68</v>
      </c>
      <c r="W6" s="6">
        <v>65</v>
      </c>
      <c r="X6" s="6">
        <v>52</v>
      </c>
      <c r="Y6" s="8">
        <v>0.8</v>
      </c>
    </row>
    <row r="7" spans="1:25" x14ac:dyDescent="0.3">
      <c r="A7" s="6" t="s">
        <v>39</v>
      </c>
      <c r="B7" s="6">
        <v>76</v>
      </c>
      <c r="C7" s="6">
        <v>3018.7833333333315</v>
      </c>
      <c r="D7" s="6">
        <v>75</v>
      </c>
      <c r="E7" s="6">
        <v>33</v>
      </c>
      <c r="F7" s="8">
        <v>0.44</v>
      </c>
      <c r="H7" s="6" t="s">
        <v>45</v>
      </c>
      <c r="I7" s="6">
        <v>116</v>
      </c>
      <c r="J7" s="6">
        <v>323684.89166666655</v>
      </c>
      <c r="K7" s="6">
        <v>108</v>
      </c>
      <c r="L7" s="6">
        <v>61</v>
      </c>
      <c r="M7" s="8">
        <v>0.56481481481481477</v>
      </c>
      <c r="O7" s="6" t="s">
        <v>65</v>
      </c>
      <c r="P7" s="6">
        <v>61</v>
      </c>
      <c r="Q7" s="6">
        <v>60</v>
      </c>
      <c r="R7" s="6">
        <v>43</v>
      </c>
      <c r="S7" s="8">
        <v>0.71666666666666667</v>
      </c>
      <c r="U7" s="6" t="s">
        <v>41</v>
      </c>
      <c r="V7" s="6">
        <v>70</v>
      </c>
      <c r="W7" s="6">
        <v>66</v>
      </c>
      <c r="X7" s="6">
        <v>44</v>
      </c>
      <c r="Y7" s="8">
        <v>0.66666666666666663</v>
      </c>
    </row>
    <row r="8" spans="1:25" x14ac:dyDescent="0.3">
      <c r="A8" s="35"/>
      <c r="B8" s="35"/>
      <c r="C8" s="35"/>
      <c r="D8" s="35"/>
      <c r="E8" s="35"/>
      <c r="F8" s="36"/>
      <c r="H8" s="6" t="s">
        <v>31</v>
      </c>
      <c r="I8" s="6">
        <v>121</v>
      </c>
      <c r="J8" s="6">
        <v>349763.16666666622</v>
      </c>
      <c r="K8" s="6">
        <v>115</v>
      </c>
      <c r="L8" s="6">
        <v>48</v>
      </c>
      <c r="M8" s="8">
        <v>0.41739130434782606</v>
      </c>
      <c r="O8" s="6" t="s">
        <v>44</v>
      </c>
      <c r="P8" s="6">
        <v>88</v>
      </c>
      <c r="Q8" s="6">
        <v>88</v>
      </c>
      <c r="R8" s="6">
        <v>48</v>
      </c>
      <c r="S8" s="8">
        <v>0.54545454545454541</v>
      </c>
      <c r="U8" s="6" t="s">
        <v>27</v>
      </c>
      <c r="V8" s="6">
        <v>73</v>
      </c>
      <c r="W8" s="6">
        <v>67</v>
      </c>
      <c r="X8" s="6">
        <v>43</v>
      </c>
      <c r="Y8" s="8">
        <v>0.64179104477611937</v>
      </c>
    </row>
    <row r="9" spans="1:25" x14ac:dyDescent="0.3">
      <c r="A9" s="35"/>
      <c r="B9" s="35"/>
      <c r="C9" s="35"/>
      <c r="D9" s="35"/>
      <c r="E9" s="35"/>
      <c r="F9" s="36"/>
      <c r="O9" s="6" t="s">
        <v>30</v>
      </c>
      <c r="P9" s="6">
        <v>82</v>
      </c>
      <c r="Q9" s="6">
        <v>82</v>
      </c>
      <c r="R9" s="6">
        <v>35</v>
      </c>
      <c r="S9" s="8">
        <v>0.42682926829268292</v>
      </c>
      <c r="U9" s="6" t="s">
        <v>54</v>
      </c>
      <c r="V9" s="6">
        <v>67</v>
      </c>
      <c r="W9" s="6">
        <v>65</v>
      </c>
      <c r="X9" s="6">
        <v>25</v>
      </c>
      <c r="Y9" s="8">
        <v>0.38461538461538464</v>
      </c>
    </row>
    <row r="10" spans="1:25" x14ac:dyDescent="0.3">
      <c r="A10" s="35"/>
      <c r="B10" s="35"/>
      <c r="C10" s="35"/>
      <c r="D10" s="35"/>
      <c r="E10" s="35"/>
      <c r="F10" s="36"/>
      <c r="O10" s="6" t="s">
        <v>112</v>
      </c>
      <c r="P10" s="6">
        <v>52</v>
      </c>
      <c r="Q10" s="6">
        <v>52</v>
      </c>
      <c r="R10" s="6">
        <v>16</v>
      </c>
      <c r="S10" s="8">
        <v>0.30769230769230771</v>
      </c>
      <c r="U10" s="6" t="s">
        <v>72</v>
      </c>
      <c r="V10" s="6">
        <v>68</v>
      </c>
      <c r="W10" s="6">
        <v>65</v>
      </c>
      <c r="X10" s="6">
        <v>16</v>
      </c>
      <c r="Y10" s="8">
        <v>0.24615384615384617</v>
      </c>
    </row>
    <row r="11" spans="1:25" x14ac:dyDescent="0.3">
      <c r="A11" s="35"/>
      <c r="B11" s="35"/>
      <c r="C11" s="35"/>
      <c r="D11" s="35"/>
      <c r="E11" s="35"/>
      <c r="F11" s="36"/>
      <c r="S11" s="36"/>
    </row>
    <row r="12" spans="1:25" x14ac:dyDescent="0.3">
      <c r="A12" s="35"/>
      <c r="B12" s="35"/>
      <c r="C12" s="35"/>
      <c r="D12" s="35"/>
      <c r="E12" s="35"/>
      <c r="F12" s="36"/>
      <c r="S12" s="36"/>
    </row>
    <row r="13" spans="1:25" x14ac:dyDescent="0.3">
      <c r="A13" s="35"/>
      <c r="B13" s="35"/>
      <c r="C13" s="35"/>
      <c r="D13" s="35"/>
      <c r="E13" s="35"/>
      <c r="F13" s="36"/>
    </row>
    <row r="14" spans="1:25" x14ac:dyDescent="0.3">
      <c r="A14" s="35"/>
      <c r="B14" s="35"/>
      <c r="C14" s="35"/>
      <c r="D14" s="35"/>
      <c r="E14" s="35"/>
      <c r="F14" s="36"/>
    </row>
    <row r="15" spans="1:25" x14ac:dyDescent="0.3">
      <c r="A15" s="35"/>
      <c r="B15" s="35"/>
      <c r="C15" s="35"/>
      <c r="D15" s="35"/>
      <c r="E15" s="35"/>
      <c r="F15" s="36"/>
    </row>
    <row r="16" spans="1:25" x14ac:dyDescent="0.3">
      <c r="A16" s="35"/>
      <c r="B16" s="35"/>
      <c r="C16" s="35"/>
      <c r="D16" s="35"/>
      <c r="E16" s="35"/>
      <c r="F16" s="36"/>
    </row>
    <row r="17" spans="1:25" x14ac:dyDescent="0.3">
      <c r="A17" s="35"/>
      <c r="B17" s="35"/>
      <c r="C17" s="35"/>
      <c r="D17" s="35"/>
      <c r="E17" s="35"/>
      <c r="F17" s="36"/>
    </row>
    <row r="18" spans="1:25" x14ac:dyDescent="0.3">
      <c r="A18" s="35"/>
      <c r="B18" s="35"/>
      <c r="C18" s="35"/>
      <c r="D18" s="35"/>
      <c r="E18" s="35"/>
      <c r="F18" s="36"/>
    </row>
    <row r="19" spans="1:25" x14ac:dyDescent="0.3">
      <c r="A19" s="35"/>
      <c r="B19" s="35"/>
      <c r="C19" s="35"/>
      <c r="D19" s="35"/>
      <c r="E19" s="35"/>
      <c r="F19" s="36"/>
    </row>
    <row r="20" spans="1:25" x14ac:dyDescent="0.3">
      <c r="A20" s="35"/>
      <c r="B20" s="35"/>
      <c r="C20" s="35"/>
      <c r="D20" s="35"/>
      <c r="E20" s="35"/>
      <c r="F20" s="36"/>
    </row>
    <row r="21" spans="1:25" x14ac:dyDescent="0.3">
      <c r="A21" s="35"/>
      <c r="B21" s="35"/>
      <c r="C21" s="35"/>
      <c r="D21" s="35"/>
      <c r="E21" s="35"/>
      <c r="F21" s="36"/>
    </row>
    <row r="22" spans="1:25" x14ac:dyDescent="0.3">
      <c r="A22" s="35"/>
      <c r="B22" s="35"/>
      <c r="C22" s="35"/>
      <c r="D22" s="35"/>
      <c r="E22" s="35"/>
      <c r="F22" s="36"/>
    </row>
    <row r="23" spans="1:25" x14ac:dyDescent="0.3">
      <c r="A23" s="35"/>
      <c r="B23" s="35"/>
      <c r="C23" s="35"/>
      <c r="D23" s="35"/>
      <c r="E23" s="35"/>
      <c r="F23" s="36"/>
    </row>
    <row r="24" spans="1:25" x14ac:dyDescent="0.3">
      <c r="A24" s="35"/>
      <c r="B24" s="35"/>
      <c r="C24" s="35"/>
      <c r="D24" s="35"/>
      <c r="E24" s="35"/>
      <c r="F24" s="36"/>
    </row>
    <row r="25" spans="1:25" x14ac:dyDescent="0.3">
      <c r="A25" s="35"/>
      <c r="B25" s="35"/>
      <c r="C25" s="35"/>
      <c r="D25" s="35"/>
      <c r="E25" s="35"/>
      <c r="F25" s="36"/>
    </row>
    <row r="26" spans="1:25" x14ac:dyDescent="0.3">
      <c r="A26" s="35"/>
      <c r="B26" s="35"/>
      <c r="C26" s="35"/>
      <c r="D26" s="35"/>
      <c r="E26" s="35"/>
      <c r="F26" s="36"/>
    </row>
    <row r="27" spans="1:25" x14ac:dyDescent="0.3">
      <c r="F27" s="24"/>
      <c r="O27" s="34" t="s">
        <v>1585</v>
      </c>
      <c r="P27" s="34"/>
      <c r="Q27" s="34"/>
      <c r="R27" s="34"/>
      <c r="S27" s="34"/>
      <c r="U27" s="34" t="s">
        <v>1587</v>
      </c>
      <c r="V27" s="34"/>
      <c r="W27" s="34"/>
      <c r="X27" s="34"/>
      <c r="Y27" s="34"/>
    </row>
    <row r="28" spans="1:25" x14ac:dyDescent="0.3">
      <c r="A28" s="34" t="s">
        <v>1579</v>
      </c>
      <c r="B28" s="34"/>
      <c r="C28" s="34"/>
      <c r="D28" s="34"/>
      <c r="E28" s="34"/>
      <c r="F28" s="34"/>
      <c r="H28" s="20" t="s">
        <v>1580</v>
      </c>
      <c r="I28" s="20"/>
      <c r="J28" s="20"/>
      <c r="K28" s="20"/>
      <c r="L28" s="20"/>
      <c r="M28" s="20"/>
      <c r="O28" s="34"/>
      <c r="P28" s="34"/>
      <c r="Q28" s="34"/>
      <c r="R28" s="34"/>
      <c r="S28" s="34"/>
      <c r="U28" s="34"/>
      <c r="V28" s="34"/>
      <c r="W28" s="34"/>
      <c r="X28" s="34"/>
      <c r="Y28" s="34"/>
    </row>
    <row r="29" spans="1:25" x14ac:dyDescent="0.3">
      <c r="A29" s="34"/>
      <c r="B29" s="34"/>
      <c r="C29" s="34"/>
      <c r="D29" s="34"/>
      <c r="E29" s="34"/>
      <c r="F29" s="34"/>
      <c r="H29" s="20"/>
      <c r="I29" s="20"/>
      <c r="J29" s="20"/>
      <c r="K29" s="20"/>
      <c r="L29" s="20"/>
      <c r="M29" s="20"/>
      <c r="O29" s="34"/>
      <c r="P29" s="34"/>
      <c r="Q29" s="34"/>
      <c r="R29" s="34"/>
      <c r="S29" s="34"/>
      <c r="U29" s="34"/>
      <c r="V29" s="34"/>
      <c r="W29" s="34"/>
      <c r="X29" s="34"/>
      <c r="Y29" s="34"/>
    </row>
    <row r="30" spans="1:25" x14ac:dyDescent="0.3">
      <c r="A30" s="34"/>
      <c r="B30" s="34"/>
      <c r="C30" s="34"/>
      <c r="D30" s="34"/>
      <c r="E30" s="34"/>
      <c r="F30" s="34"/>
      <c r="H30" s="20"/>
      <c r="I30" s="20"/>
      <c r="J30" s="20"/>
      <c r="K30" s="20"/>
      <c r="L30" s="20"/>
      <c r="M30" s="20"/>
      <c r="O30" s="34"/>
      <c r="P30" s="34"/>
      <c r="Q30" s="34"/>
      <c r="R30" s="34"/>
      <c r="S30" s="34"/>
    </row>
    <row r="34" spans="1:1" ht="18" x14ac:dyDescent="0.35">
      <c r="A34" s="13" t="s">
        <v>1515</v>
      </c>
    </row>
    <row r="36" spans="1:1" x14ac:dyDescent="0.3">
      <c r="A36" t="s">
        <v>1588</v>
      </c>
    </row>
  </sheetData>
  <mergeCells count="4">
    <mergeCell ref="O27:S30"/>
    <mergeCell ref="U27:Y29"/>
    <mergeCell ref="A28:F30"/>
    <mergeCell ref="H28:M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C88F-E485-4B1C-8EE4-806B2F79C4F3}">
  <dimension ref="A1:D21"/>
  <sheetViews>
    <sheetView showGridLines="0" workbookViewId="0">
      <selection activeCell="J28" sqref="J28"/>
    </sheetView>
  </sheetViews>
  <sheetFormatPr defaultRowHeight="14.4" x14ac:dyDescent="0.3"/>
  <cols>
    <col min="1" max="1" width="37" customWidth="1"/>
    <col min="2" max="2" width="44.33203125" bestFit="1" customWidth="1"/>
    <col min="3" max="3" width="15.109375" bestFit="1" customWidth="1"/>
  </cols>
  <sheetData>
    <row r="1" spans="1:3" ht="23.4" x14ac:dyDescent="0.45">
      <c r="A1" s="22" t="s">
        <v>1590</v>
      </c>
    </row>
    <row r="3" spans="1:3" ht="15.6" x14ac:dyDescent="0.3">
      <c r="A3" s="40" t="s">
        <v>1593</v>
      </c>
      <c r="B3" s="40" t="s">
        <v>1594</v>
      </c>
      <c r="C3" s="40" t="s">
        <v>1595</v>
      </c>
    </row>
    <row r="4" spans="1:3" x14ac:dyDescent="0.3">
      <c r="A4" s="39" t="s">
        <v>1589</v>
      </c>
      <c r="B4" s="6" t="s">
        <v>1596</v>
      </c>
      <c r="C4" s="7">
        <f>SUM(Data_Analyst_Intern_Nikhil_Kumar_February2026[Unit Price])</f>
        <v>967354</v>
      </c>
    </row>
    <row r="5" spans="1:3" x14ac:dyDescent="0.3">
      <c r="A5" s="6" t="s">
        <v>1591</v>
      </c>
      <c r="B5" s="6" t="s">
        <v>1597</v>
      </c>
      <c r="C5" s="7">
        <f>SUM(Data_Analyst_Intern_Nikhil_Kumar_February2026[Price After Discount])</f>
        <v>1002796.0500000024</v>
      </c>
    </row>
    <row r="6" spans="1:3" x14ac:dyDescent="0.3">
      <c r="A6" s="6" t="s">
        <v>1543</v>
      </c>
      <c r="B6" s="6" t="s">
        <v>1598</v>
      </c>
      <c r="C6" s="8">
        <f>COUNTIF(Data_Analyst_Intern_Nikhil_Kumar_February2026[Return?], "Yes") / COUNTIF(Data_Analyst_Intern_Nikhil_Kumar_February2026[Status],"Delivered")</f>
        <v>0.55045871559633031</v>
      </c>
    </row>
    <row r="7" spans="1:3" x14ac:dyDescent="0.3">
      <c r="A7" s="6" t="s">
        <v>1592</v>
      </c>
      <c r="B7" s="6" t="s">
        <v>1599</v>
      </c>
      <c r="C7" s="8">
        <f>COUNTIF(Data_Analyst_Intern_Nikhil_Kumar_February2026[Status], "RTO")/COUNTA(Data_Analyst_Intern_Nikhil_Kumar_February2026[Order ID])</f>
        <v>4.9132947976878616E-2</v>
      </c>
    </row>
    <row r="8" spans="1:3" x14ac:dyDescent="0.3">
      <c r="A8" s="6" t="s">
        <v>1600</v>
      </c>
      <c r="B8" s="6" t="s">
        <v>1601</v>
      </c>
      <c r="C8" s="8">
        <f>COUNTIF(Data_Analyst_Intern_Nikhil_Kumar_February2026[Refund],"Processed")/COUNTA(urbanthreads_q4!AH:AH)</f>
        <v>0.95580110497237569</v>
      </c>
    </row>
    <row r="9" spans="1:3" x14ac:dyDescent="0.3">
      <c r="A9" s="6" t="s">
        <v>1602</v>
      </c>
      <c r="B9" s="6" t="s">
        <v>1603</v>
      </c>
      <c r="C9" s="8">
        <f>COUNTIF(Data_Analyst_Intern_Nikhil_Kumar_February2026[Return?], "Yes")/COUNTA(Data_Analyst_Intern_Nikhil_Kumar_February2026[Order ID])</f>
        <v>0.52023121387283233</v>
      </c>
    </row>
    <row r="10" spans="1:3" x14ac:dyDescent="0.3">
      <c r="A10" s="6" t="s">
        <v>1604</v>
      </c>
      <c r="B10" s="6" t="s">
        <v>1605</v>
      </c>
      <c r="C10" s="8">
        <v>0.51895043731778423</v>
      </c>
    </row>
    <row r="12" spans="1:3" ht="15.6" x14ac:dyDescent="0.3">
      <c r="A12" s="38" t="s">
        <v>1606</v>
      </c>
      <c r="B12" s="38"/>
      <c r="C12" s="38"/>
    </row>
    <row r="13" spans="1:3" x14ac:dyDescent="0.3">
      <c r="A13" s="26" t="s">
        <v>14</v>
      </c>
      <c r="B13" s="26" t="s">
        <v>1484</v>
      </c>
      <c r="C13" s="26" t="s">
        <v>1607</v>
      </c>
    </row>
    <row r="14" spans="1:3" x14ac:dyDescent="0.3">
      <c r="A14" s="6" t="s">
        <v>57</v>
      </c>
      <c r="B14" s="6">
        <v>93</v>
      </c>
      <c r="C14" s="8">
        <v>0.26878612716763006</v>
      </c>
    </row>
    <row r="15" spans="1:3" x14ac:dyDescent="0.3">
      <c r="A15" s="6" t="s">
        <v>46</v>
      </c>
      <c r="B15" s="6">
        <v>132</v>
      </c>
      <c r="C15" s="8">
        <v>0.38150289017341038</v>
      </c>
    </row>
    <row r="16" spans="1:3" x14ac:dyDescent="0.3">
      <c r="A16" s="6" t="s">
        <v>32</v>
      </c>
      <c r="B16" s="6">
        <v>121</v>
      </c>
      <c r="C16" s="8">
        <v>0.34971098265895956</v>
      </c>
    </row>
    <row r="18" spans="1:4" x14ac:dyDescent="0.3">
      <c r="A18" s="20" t="s">
        <v>1608</v>
      </c>
      <c r="B18" s="20"/>
      <c r="C18" s="20"/>
      <c r="D18" s="20"/>
    </row>
    <row r="19" spans="1:4" x14ac:dyDescent="0.3">
      <c r="A19" s="20"/>
      <c r="B19" s="20"/>
      <c r="C19" s="20"/>
      <c r="D19" s="20"/>
    </row>
    <row r="20" spans="1:4" x14ac:dyDescent="0.3">
      <c r="A20" s="20"/>
      <c r="B20" s="20"/>
      <c r="C20" s="20"/>
      <c r="D20" s="20"/>
    </row>
    <row r="21" spans="1:4" x14ac:dyDescent="0.3">
      <c r="A21" s="20"/>
      <c r="B21" s="20"/>
      <c r="C21" s="20"/>
      <c r="D21" s="20"/>
    </row>
  </sheetData>
  <mergeCells count="2">
    <mergeCell ref="A12:C12"/>
    <mergeCell ref="A18:D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98A3-716E-4976-930E-CFDCC4A00005}">
  <dimension ref="A1:E28"/>
  <sheetViews>
    <sheetView showGridLines="0" workbookViewId="0">
      <selection activeCell="I26" sqref="I26"/>
    </sheetView>
  </sheetViews>
  <sheetFormatPr defaultRowHeight="14.4" x14ac:dyDescent="0.3"/>
  <cols>
    <col min="1" max="1" width="129.5546875" bestFit="1" customWidth="1"/>
  </cols>
  <sheetData>
    <row r="1" spans="1:5" ht="23.4" x14ac:dyDescent="0.45">
      <c r="A1" s="22" t="s">
        <v>1609</v>
      </c>
    </row>
    <row r="3" spans="1:5" x14ac:dyDescent="0.3">
      <c r="A3" s="41" t="s">
        <v>1610</v>
      </c>
    </row>
    <row r="5" spans="1:5" x14ac:dyDescent="0.3">
      <c r="A5" s="34" t="s">
        <v>1613</v>
      </c>
      <c r="B5" s="34"/>
      <c r="C5" s="34"/>
      <c r="D5" s="34"/>
      <c r="E5" s="34"/>
    </row>
    <row r="6" spans="1:5" x14ac:dyDescent="0.3">
      <c r="A6" s="34"/>
      <c r="B6" s="34"/>
      <c r="C6" s="34"/>
      <c r="D6" s="34"/>
      <c r="E6" s="34"/>
    </row>
    <row r="7" spans="1:5" x14ac:dyDescent="0.3">
      <c r="A7" s="34"/>
      <c r="B7" s="34"/>
      <c r="C7" s="34"/>
      <c r="D7" s="34"/>
      <c r="E7" s="34"/>
    </row>
    <row r="8" spans="1:5" x14ac:dyDescent="0.3">
      <c r="A8" s="34"/>
      <c r="B8" s="34"/>
      <c r="C8" s="34"/>
      <c r="D8" s="34"/>
      <c r="E8" s="34"/>
    </row>
    <row r="9" spans="1:5" x14ac:dyDescent="0.3">
      <c r="A9" s="34"/>
      <c r="B9" s="34"/>
      <c r="C9" s="34"/>
      <c r="D9" s="34"/>
      <c r="E9" s="34"/>
    </row>
    <row r="12" spans="1:5" x14ac:dyDescent="0.3">
      <c r="A12" s="9" t="s">
        <v>1611</v>
      </c>
    </row>
    <row r="14" spans="1:5" x14ac:dyDescent="0.3">
      <c r="A14" s="34" t="s">
        <v>1612</v>
      </c>
      <c r="B14" s="34"/>
      <c r="C14" s="34"/>
      <c r="D14" s="34"/>
      <c r="E14" s="34"/>
    </row>
    <row r="15" spans="1:5" x14ac:dyDescent="0.3">
      <c r="A15" s="34"/>
      <c r="B15" s="34"/>
      <c r="C15" s="34"/>
      <c r="D15" s="34"/>
      <c r="E15" s="34"/>
    </row>
    <row r="16" spans="1:5" x14ac:dyDescent="0.3">
      <c r="A16" s="34"/>
      <c r="B16" s="34"/>
      <c r="C16" s="34"/>
      <c r="D16" s="34"/>
      <c r="E16" s="34"/>
    </row>
    <row r="17" spans="1:5" x14ac:dyDescent="0.3">
      <c r="A17" s="34"/>
      <c r="B17" s="34"/>
      <c r="C17" s="34"/>
      <c r="D17" s="34"/>
      <c r="E17" s="34"/>
    </row>
    <row r="18" spans="1:5" x14ac:dyDescent="0.3">
      <c r="A18" s="34"/>
      <c r="B18" s="34"/>
      <c r="C18" s="34"/>
      <c r="D18" s="34"/>
      <c r="E18" s="34"/>
    </row>
    <row r="19" spans="1:5" x14ac:dyDescent="0.3">
      <c r="A19" s="34"/>
      <c r="B19" s="34"/>
      <c r="C19" s="34"/>
      <c r="D19" s="34"/>
      <c r="E19" s="34"/>
    </row>
    <row r="21" spans="1:5" x14ac:dyDescent="0.3">
      <c r="A21" s="41" t="s">
        <v>1614</v>
      </c>
    </row>
    <row r="23" spans="1:5" x14ac:dyDescent="0.3">
      <c r="A23" s="34" t="s">
        <v>1615</v>
      </c>
      <c r="B23" s="34"/>
      <c r="C23" s="34"/>
      <c r="D23" s="34"/>
      <c r="E23" s="34"/>
    </row>
    <row r="24" spans="1:5" x14ac:dyDescent="0.3">
      <c r="A24" s="34"/>
      <c r="B24" s="34"/>
      <c r="C24" s="34"/>
      <c r="D24" s="34"/>
      <c r="E24" s="34"/>
    </row>
    <row r="25" spans="1:5" x14ac:dyDescent="0.3">
      <c r="A25" s="34"/>
      <c r="B25" s="34"/>
      <c r="C25" s="34"/>
      <c r="D25" s="34"/>
      <c r="E25" s="34"/>
    </row>
    <row r="26" spans="1:5" x14ac:dyDescent="0.3">
      <c r="A26" s="34"/>
      <c r="B26" s="34"/>
      <c r="C26" s="34"/>
      <c r="D26" s="34"/>
      <c r="E26" s="34"/>
    </row>
    <row r="27" spans="1:5" x14ac:dyDescent="0.3">
      <c r="A27" s="34"/>
      <c r="B27" s="34"/>
      <c r="C27" s="34"/>
      <c r="D27" s="34"/>
      <c r="E27" s="34"/>
    </row>
    <row r="28" spans="1:5" x14ac:dyDescent="0.3">
      <c r="A28" s="34"/>
      <c r="B28" s="34"/>
      <c r="C28" s="34"/>
      <c r="D28" s="34"/>
      <c r="E28" s="34"/>
    </row>
  </sheetData>
  <mergeCells count="3">
    <mergeCell ref="A5:E9"/>
    <mergeCell ref="A14:E19"/>
    <mergeCell ref="A23:E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8C71-E75A-4517-8A60-0735C0A39184}">
  <dimension ref="A1:AC141"/>
  <sheetViews>
    <sheetView showGridLines="0" zoomScale="70" zoomScaleNormal="70" workbookViewId="0">
      <selection activeCell="P122" sqref="P122"/>
    </sheetView>
  </sheetViews>
  <sheetFormatPr defaultRowHeight="14.4" x14ac:dyDescent="0.3"/>
  <cols>
    <col min="1" max="1" width="13.33203125" bestFit="1" customWidth="1"/>
    <col min="2" max="2" width="11.88671875" bestFit="1" customWidth="1"/>
    <col min="3" max="4" width="15.77734375" bestFit="1" customWidth="1"/>
    <col min="5" max="5" width="14.109375" bestFit="1" customWidth="1"/>
    <col min="6" max="6" width="15.77734375" bestFit="1" customWidth="1"/>
    <col min="7" max="7" width="14.109375" bestFit="1" customWidth="1"/>
    <col min="8" max="8" width="11.88671875" bestFit="1" customWidth="1"/>
    <col min="9" max="9" width="15.77734375" bestFit="1" customWidth="1"/>
    <col min="10" max="10" width="18" bestFit="1" customWidth="1"/>
    <col min="11" max="11" width="15.6640625" bestFit="1" customWidth="1"/>
    <col min="12" max="12" width="12.44140625" bestFit="1" customWidth="1"/>
    <col min="13" max="13" width="15.6640625" bestFit="1" customWidth="1"/>
    <col min="14" max="14" width="12.44140625" bestFit="1" customWidth="1"/>
    <col min="15" max="15" width="15.6640625" bestFit="1" customWidth="1"/>
    <col min="16" max="16" width="12.44140625" bestFit="1" customWidth="1"/>
    <col min="17" max="17" width="15.6640625" bestFit="1" customWidth="1"/>
    <col min="18" max="18" width="12.44140625" bestFit="1" customWidth="1"/>
    <col min="19" max="19" width="15.6640625" bestFit="1" customWidth="1"/>
    <col min="20" max="20" width="15.109375" bestFit="1" customWidth="1"/>
    <col min="21" max="21" width="15.6640625" bestFit="1" customWidth="1"/>
    <col min="22" max="22" width="12.44140625" bestFit="1" customWidth="1"/>
    <col min="23" max="23" width="15.6640625" bestFit="1" customWidth="1"/>
    <col min="24" max="24" width="12.44140625" bestFit="1" customWidth="1"/>
    <col min="25" max="25" width="15.6640625" bestFit="1" customWidth="1"/>
    <col min="26" max="26" width="12.44140625" bestFit="1" customWidth="1"/>
    <col min="27" max="27" width="15.6640625" bestFit="1" customWidth="1"/>
    <col min="28" max="28" width="15.109375" bestFit="1" customWidth="1"/>
    <col min="29" max="29" width="15.6640625" bestFit="1" customWidth="1"/>
    <col min="30" max="30" width="12.44140625" bestFit="1" customWidth="1"/>
    <col min="31" max="31" width="15.6640625" bestFit="1" customWidth="1"/>
    <col min="32" max="32" width="12.44140625" bestFit="1" customWidth="1"/>
    <col min="33" max="33" width="15.6640625" bestFit="1" customWidth="1"/>
    <col min="34" max="34" width="12.44140625" bestFit="1" customWidth="1"/>
    <col min="35" max="35" width="15.6640625" bestFit="1" customWidth="1"/>
    <col min="36" max="36" width="12.44140625" bestFit="1" customWidth="1"/>
    <col min="37" max="37" width="15.6640625" bestFit="1" customWidth="1"/>
    <col min="38" max="38" width="15.109375" bestFit="1" customWidth="1"/>
    <col min="39" max="39" width="15.6640625" bestFit="1" customWidth="1"/>
    <col min="40" max="40" width="12.44140625" bestFit="1" customWidth="1"/>
    <col min="41" max="41" width="15.6640625" bestFit="1" customWidth="1"/>
    <col min="42" max="42" width="12.44140625" bestFit="1" customWidth="1"/>
    <col min="43" max="43" width="15.6640625" bestFit="1" customWidth="1"/>
    <col min="44" max="44" width="12.44140625" bestFit="1" customWidth="1"/>
    <col min="45" max="45" width="15.6640625" bestFit="1" customWidth="1"/>
    <col min="46" max="46" width="12.44140625" bestFit="1" customWidth="1"/>
    <col min="47" max="47" width="15.6640625" bestFit="1" customWidth="1"/>
    <col min="48" max="48" width="15.109375" bestFit="1" customWidth="1"/>
    <col min="49" max="49" width="15.6640625" bestFit="1" customWidth="1"/>
    <col min="50" max="50" width="12.44140625" bestFit="1" customWidth="1"/>
    <col min="51" max="51" width="15.6640625" bestFit="1" customWidth="1"/>
    <col min="52" max="52" width="12.44140625" bestFit="1" customWidth="1"/>
    <col min="53" max="53" width="15.6640625" bestFit="1" customWidth="1"/>
    <col min="54" max="54" width="12.44140625" bestFit="1" customWidth="1"/>
    <col min="55" max="55" width="15.6640625" bestFit="1" customWidth="1"/>
    <col min="56" max="56" width="15.109375" bestFit="1" customWidth="1"/>
    <col min="57" max="57" width="15.6640625" bestFit="1" customWidth="1"/>
    <col min="58" max="58" width="12.44140625" bestFit="1" customWidth="1"/>
    <col min="59" max="59" width="15.6640625" bestFit="1" customWidth="1"/>
    <col min="60" max="60" width="12.44140625" bestFit="1" customWidth="1"/>
    <col min="61" max="61" width="15.6640625" bestFit="1" customWidth="1"/>
    <col min="62" max="62" width="12.44140625" bestFit="1" customWidth="1"/>
    <col min="63" max="63" width="15.6640625" bestFit="1" customWidth="1"/>
    <col min="64" max="64" width="12.44140625" bestFit="1" customWidth="1"/>
    <col min="65" max="65" width="15.6640625" bestFit="1" customWidth="1"/>
    <col min="66" max="66" width="15.109375" bestFit="1" customWidth="1"/>
    <col min="67" max="67" width="15.6640625" bestFit="1" customWidth="1"/>
    <col min="68" max="68" width="12.44140625" bestFit="1" customWidth="1"/>
    <col min="69" max="69" width="15.6640625" bestFit="1" customWidth="1"/>
    <col min="70" max="70" width="12.44140625" bestFit="1" customWidth="1"/>
    <col min="71" max="71" width="15.6640625" bestFit="1" customWidth="1"/>
    <col min="72" max="72" width="12.44140625" bestFit="1" customWidth="1"/>
    <col min="73" max="73" width="15.6640625" bestFit="1" customWidth="1"/>
    <col min="74" max="74" width="15.109375" bestFit="1" customWidth="1"/>
    <col min="75" max="75" width="15.6640625" bestFit="1" customWidth="1"/>
    <col min="76" max="76" width="12.44140625" bestFit="1" customWidth="1"/>
    <col min="77" max="77" width="15.6640625" bestFit="1" customWidth="1"/>
    <col min="78" max="78" width="12.44140625" bestFit="1" customWidth="1"/>
    <col min="79" max="79" width="15.6640625" bestFit="1" customWidth="1"/>
    <col min="80" max="80" width="12.44140625" bestFit="1" customWidth="1"/>
    <col min="81" max="81" width="15.6640625" bestFit="1" customWidth="1"/>
    <col min="82" max="82" width="15.109375" bestFit="1" customWidth="1"/>
    <col min="83" max="83" width="15.6640625" bestFit="1" customWidth="1"/>
    <col min="84" max="84" width="12.44140625" bestFit="1" customWidth="1"/>
    <col min="85" max="85" width="15.6640625" bestFit="1" customWidth="1"/>
    <col min="86" max="86" width="12.44140625" bestFit="1" customWidth="1"/>
    <col min="87" max="87" width="15.6640625" bestFit="1" customWidth="1"/>
    <col min="88" max="88" width="15.109375" bestFit="1" customWidth="1"/>
    <col min="89" max="89" width="15.6640625" bestFit="1" customWidth="1"/>
    <col min="90" max="90" width="12.44140625" bestFit="1" customWidth="1"/>
    <col min="91" max="91" width="15.6640625" bestFit="1" customWidth="1"/>
    <col min="92" max="92" width="12.44140625" bestFit="1" customWidth="1"/>
    <col min="93" max="93" width="15.6640625" bestFit="1" customWidth="1"/>
    <col min="94" max="94" width="15.109375" bestFit="1" customWidth="1"/>
    <col min="95" max="95" width="15.6640625" bestFit="1" customWidth="1"/>
    <col min="96" max="96" width="12.44140625" bestFit="1" customWidth="1"/>
    <col min="97" max="97" width="15.6640625" bestFit="1" customWidth="1"/>
    <col min="98" max="98" width="12.44140625" bestFit="1" customWidth="1"/>
    <col min="99" max="99" width="15.6640625" bestFit="1" customWidth="1"/>
    <col min="100" max="100" width="12.44140625" bestFit="1" customWidth="1"/>
    <col min="101" max="101" width="15.6640625" bestFit="1" customWidth="1"/>
    <col min="102" max="102" width="15.109375" bestFit="1" customWidth="1"/>
    <col min="103" max="103" width="15.6640625" bestFit="1" customWidth="1"/>
    <col min="104" max="104" width="12.44140625" bestFit="1" customWidth="1"/>
    <col min="105" max="105" width="15.6640625" bestFit="1" customWidth="1"/>
    <col min="106" max="106" width="12.44140625" bestFit="1" customWidth="1"/>
    <col min="107" max="107" width="15.6640625" bestFit="1" customWidth="1"/>
    <col min="108" max="108" width="15.109375" bestFit="1" customWidth="1"/>
    <col min="109" max="109" width="15.6640625" bestFit="1" customWidth="1"/>
    <col min="110" max="110" width="12.44140625" bestFit="1" customWidth="1"/>
    <col min="111" max="111" width="15.6640625" bestFit="1" customWidth="1"/>
    <col min="112" max="112" width="12.44140625" bestFit="1" customWidth="1"/>
    <col min="113" max="113" width="15.6640625" bestFit="1" customWidth="1"/>
    <col min="114" max="114" width="12.44140625" bestFit="1" customWidth="1"/>
    <col min="115" max="115" width="15.6640625" bestFit="1" customWidth="1"/>
    <col min="116" max="116" width="15.109375" bestFit="1" customWidth="1"/>
    <col min="117" max="117" width="15.6640625" bestFit="1" customWidth="1"/>
    <col min="118" max="118" width="12.44140625" bestFit="1" customWidth="1"/>
    <col min="119" max="119" width="15.6640625" bestFit="1" customWidth="1"/>
    <col min="120" max="120" width="12.44140625" bestFit="1" customWidth="1"/>
    <col min="121" max="121" width="15.6640625" bestFit="1" customWidth="1"/>
    <col min="122" max="122" width="15.109375" bestFit="1" customWidth="1"/>
    <col min="123" max="123" width="15.6640625" bestFit="1" customWidth="1"/>
    <col min="124" max="124" width="12.44140625" bestFit="1" customWidth="1"/>
    <col min="125" max="125" width="15.6640625" bestFit="1" customWidth="1"/>
    <col min="126" max="126" width="12.44140625" bestFit="1" customWidth="1"/>
    <col min="127" max="127" width="15.6640625" bestFit="1" customWidth="1"/>
    <col min="128" max="128" width="15.109375" bestFit="1" customWidth="1"/>
    <col min="129" max="129" width="15.6640625" bestFit="1" customWidth="1"/>
    <col min="130" max="130" width="12.44140625" bestFit="1" customWidth="1"/>
    <col min="131" max="131" width="15.6640625" bestFit="1" customWidth="1"/>
    <col min="132" max="132" width="12.44140625" bestFit="1" customWidth="1"/>
    <col min="133" max="133" width="15.6640625" bestFit="1" customWidth="1"/>
    <col min="134" max="134" width="15.109375" bestFit="1" customWidth="1"/>
    <col min="135" max="135" width="15.6640625" bestFit="1" customWidth="1"/>
    <col min="136" max="136" width="12.44140625" bestFit="1" customWidth="1"/>
    <col min="137" max="137" width="15.6640625" bestFit="1" customWidth="1"/>
    <col min="138" max="138" width="12.44140625" bestFit="1" customWidth="1"/>
    <col min="139" max="139" width="15.6640625" bestFit="1" customWidth="1"/>
    <col min="140" max="140" width="15.109375" bestFit="1" customWidth="1"/>
    <col min="141" max="141" width="15.6640625" bestFit="1" customWidth="1"/>
    <col min="142" max="142" width="12.44140625" bestFit="1" customWidth="1"/>
    <col min="143" max="143" width="15.6640625" bestFit="1" customWidth="1"/>
    <col min="144" max="144" width="12.44140625" bestFit="1" customWidth="1"/>
    <col min="145" max="145" width="15.6640625" bestFit="1" customWidth="1"/>
    <col min="146" max="146" width="15.109375" bestFit="1" customWidth="1"/>
    <col min="147" max="147" width="15.6640625" bestFit="1" customWidth="1"/>
    <col min="148" max="148" width="12.44140625" bestFit="1" customWidth="1"/>
    <col min="149" max="149" width="15.6640625" bestFit="1" customWidth="1"/>
    <col min="150" max="150" width="12.44140625" bestFit="1" customWidth="1"/>
    <col min="151" max="151" width="15.6640625" bestFit="1" customWidth="1"/>
    <col min="152" max="152" width="15.109375" bestFit="1" customWidth="1"/>
    <col min="153" max="153" width="15.6640625" bestFit="1" customWidth="1"/>
    <col min="154" max="154" width="12.44140625" bestFit="1" customWidth="1"/>
    <col min="155" max="155" width="15.6640625" bestFit="1" customWidth="1"/>
    <col min="156" max="156" width="12.44140625" bestFit="1" customWidth="1"/>
    <col min="157" max="157" width="15.6640625" bestFit="1" customWidth="1"/>
    <col min="158" max="158" width="15.109375" bestFit="1" customWidth="1"/>
    <col min="159" max="159" width="15.6640625" bestFit="1" customWidth="1"/>
    <col min="160" max="160" width="12.44140625" bestFit="1" customWidth="1"/>
    <col min="161" max="161" width="15.6640625" bestFit="1" customWidth="1"/>
    <col min="162" max="162" width="12.44140625" bestFit="1" customWidth="1"/>
    <col min="163" max="163" width="15.6640625" bestFit="1" customWidth="1"/>
    <col min="164" max="164" width="15.109375" bestFit="1" customWidth="1"/>
    <col min="165" max="165" width="15.6640625" bestFit="1" customWidth="1"/>
    <col min="166" max="166" width="12.44140625" bestFit="1" customWidth="1"/>
    <col min="167" max="167" width="15.6640625" bestFit="1" customWidth="1"/>
    <col min="168" max="168" width="12.44140625" bestFit="1" customWidth="1"/>
    <col min="169" max="169" width="15.6640625" bestFit="1" customWidth="1"/>
    <col min="170" max="170" width="15.109375" bestFit="1" customWidth="1"/>
    <col min="171" max="171" width="15.6640625" bestFit="1" customWidth="1"/>
    <col min="172" max="172" width="12.44140625" bestFit="1" customWidth="1"/>
    <col min="173" max="173" width="15.6640625" bestFit="1" customWidth="1"/>
    <col min="174" max="174" width="12.44140625" bestFit="1" customWidth="1"/>
    <col min="175" max="175" width="15.6640625" bestFit="1" customWidth="1"/>
    <col min="176" max="176" width="15.109375" bestFit="1" customWidth="1"/>
    <col min="177" max="177" width="15.6640625" bestFit="1" customWidth="1"/>
    <col min="178" max="178" width="12.44140625" bestFit="1" customWidth="1"/>
    <col min="179" max="179" width="15.6640625" bestFit="1" customWidth="1"/>
    <col min="180" max="180" width="12.44140625" bestFit="1" customWidth="1"/>
    <col min="181" max="181" width="15.6640625" bestFit="1" customWidth="1"/>
    <col min="182" max="182" width="15.109375" bestFit="1" customWidth="1"/>
    <col min="183" max="183" width="15.6640625" bestFit="1" customWidth="1"/>
    <col min="184" max="184" width="12.44140625" bestFit="1" customWidth="1"/>
    <col min="185" max="185" width="15.6640625" bestFit="1" customWidth="1"/>
    <col min="186" max="186" width="12.44140625" bestFit="1" customWidth="1"/>
    <col min="187" max="187" width="15.6640625" bestFit="1" customWidth="1"/>
    <col min="188" max="188" width="15.109375" bestFit="1" customWidth="1"/>
    <col min="189" max="189" width="15.6640625" bestFit="1" customWidth="1"/>
    <col min="190" max="190" width="12.44140625" bestFit="1" customWidth="1"/>
    <col min="191" max="191" width="15.6640625" bestFit="1" customWidth="1"/>
    <col min="192" max="192" width="12.44140625" bestFit="1" customWidth="1"/>
    <col min="193" max="193" width="15.6640625" bestFit="1" customWidth="1"/>
    <col min="194" max="194" width="15.109375" bestFit="1" customWidth="1"/>
    <col min="195" max="195" width="15.6640625" bestFit="1" customWidth="1"/>
    <col min="196" max="196" width="12.44140625" bestFit="1" customWidth="1"/>
    <col min="197" max="197" width="15.6640625" bestFit="1" customWidth="1"/>
    <col min="198" max="198" width="12.44140625" bestFit="1" customWidth="1"/>
    <col min="199" max="199" width="15.6640625" bestFit="1" customWidth="1"/>
    <col min="200" max="200" width="15.109375" bestFit="1" customWidth="1"/>
    <col min="201" max="201" width="15.6640625" bestFit="1" customWidth="1"/>
    <col min="202" max="202" width="12.44140625" bestFit="1" customWidth="1"/>
    <col min="203" max="203" width="15.6640625" bestFit="1" customWidth="1"/>
    <col min="204" max="204" width="12.44140625" bestFit="1" customWidth="1"/>
    <col min="205" max="205" width="15.6640625" bestFit="1" customWidth="1"/>
    <col min="206" max="206" width="15.109375" bestFit="1" customWidth="1"/>
    <col min="207" max="207" width="15.6640625" bestFit="1" customWidth="1"/>
    <col min="208" max="208" width="12.44140625" bestFit="1" customWidth="1"/>
    <col min="209" max="209" width="15.6640625" bestFit="1" customWidth="1"/>
    <col min="210" max="210" width="12.44140625" bestFit="1" customWidth="1"/>
    <col min="211" max="211" width="15.6640625" bestFit="1" customWidth="1"/>
    <col min="212" max="212" width="15.109375" bestFit="1" customWidth="1"/>
    <col min="213" max="213" width="15.6640625" bestFit="1" customWidth="1"/>
    <col min="214" max="214" width="12.44140625" bestFit="1" customWidth="1"/>
    <col min="215" max="215" width="15.6640625" bestFit="1" customWidth="1"/>
    <col min="216" max="216" width="12.44140625" bestFit="1" customWidth="1"/>
    <col min="217" max="217" width="15.6640625" bestFit="1" customWidth="1"/>
    <col min="218" max="218" width="15.109375" bestFit="1" customWidth="1"/>
    <col min="219" max="219" width="15.6640625" bestFit="1" customWidth="1"/>
    <col min="220" max="220" width="12.44140625" bestFit="1" customWidth="1"/>
    <col min="221" max="221" width="15.6640625" bestFit="1" customWidth="1"/>
    <col min="222" max="222" width="12.44140625" bestFit="1" customWidth="1"/>
    <col min="223" max="223" width="15.6640625" bestFit="1" customWidth="1"/>
    <col min="224" max="224" width="12.44140625" bestFit="1" customWidth="1"/>
    <col min="225" max="225" width="15.6640625" bestFit="1" customWidth="1"/>
    <col min="226" max="226" width="15.109375" bestFit="1" customWidth="1"/>
    <col min="227" max="227" width="15.6640625" bestFit="1" customWidth="1"/>
    <col min="228" max="228" width="12.44140625" bestFit="1" customWidth="1"/>
    <col min="229" max="229" width="15.6640625" bestFit="1" customWidth="1"/>
    <col min="230" max="230" width="12.44140625" bestFit="1" customWidth="1"/>
    <col min="231" max="231" width="15.6640625" bestFit="1" customWidth="1"/>
    <col min="232" max="232" width="12.44140625" bestFit="1" customWidth="1"/>
    <col min="233" max="233" width="15.6640625" bestFit="1" customWidth="1"/>
    <col min="234" max="234" width="15.109375" bestFit="1" customWidth="1"/>
    <col min="235" max="235" width="15.6640625" bestFit="1" customWidth="1"/>
    <col min="236" max="236" width="12.44140625" bestFit="1" customWidth="1"/>
    <col min="237" max="237" width="15.6640625" bestFit="1" customWidth="1"/>
    <col min="238" max="238" width="12.44140625" bestFit="1" customWidth="1"/>
    <col min="239" max="239" width="15.6640625" bestFit="1" customWidth="1"/>
    <col min="240" max="240" width="15.109375" bestFit="1" customWidth="1"/>
    <col min="241" max="241" width="15.6640625" bestFit="1" customWidth="1"/>
    <col min="242" max="242" width="12.44140625" bestFit="1" customWidth="1"/>
    <col min="243" max="243" width="15.6640625" bestFit="1" customWidth="1"/>
    <col min="244" max="244" width="12.44140625" bestFit="1" customWidth="1"/>
    <col min="245" max="245" width="15.6640625" bestFit="1" customWidth="1"/>
    <col min="246" max="246" width="15.109375" bestFit="1" customWidth="1"/>
    <col min="247" max="247" width="15.6640625" bestFit="1" customWidth="1"/>
    <col min="248" max="248" width="12.44140625" bestFit="1" customWidth="1"/>
    <col min="249" max="249" width="15.6640625" bestFit="1" customWidth="1"/>
    <col min="250" max="250" width="12.44140625" bestFit="1" customWidth="1"/>
    <col min="251" max="251" width="15.6640625" bestFit="1" customWidth="1"/>
    <col min="252" max="252" width="15.109375" bestFit="1" customWidth="1"/>
    <col min="253" max="253" width="15.6640625" bestFit="1" customWidth="1"/>
    <col min="254" max="254" width="12.44140625" bestFit="1" customWidth="1"/>
    <col min="255" max="255" width="15.6640625" bestFit="1" customWidth="1"/>
    <col min="256" max="256" width="12.44140625" bestFit="1" customWidth="1"/>
    <col min="257" max="257" width="15.6640625" bestFit="1" customWidth="1"/>
    <col min="258" max="258" width="15.109375" bestFit="1" customWidth="1"/>
    <col min="259" max="259" width="15.6640625" bestFit="1" customWidth="1"/>
    <col min="260" max="260" width="12.44140625" bestFit="1" customWidth="1"/>
    <col min="261" max="261" width="15.6640625" bestFit="1" customWidth="1"/>
    <col min="262" max="262" width="12.44140625" bestFit="1" customWidth="1"/>
    <col min="263" max="263" width="15.6640625" bestFit="1" customWidth="1"/>
    <col min="264" max="264" width="15.109375" bestFit="1" customWidth="1"/>
    <col min="265" max="265" width="15.6640625" bestFit="1" customWidth="1"/>
    <col min="266" max="266" width="12.44140625" bestFit="1" customWidth="1"/>
    <col min="267" max="267" width="15.6640625" bestFit="1" customWidth="1"/>
    <col min="268" max="268" width="12.44140625" bestFit="1" customWidth="1"/>
    <col min="269" max="269" width="15.6640625" bestFit="1" customWidth="1"/>
    <col min="270" max="270" width="15.109375" bestFit="1" customWidth="1"/>
    <col min="271" max="271" width="15.6640625" bestFit="1" customWidth="1"/>
    <col min="272" max="272" width="12.44140625" bestFit="1" customWidth="1"/>
    <col min="273" max="273" width="15.6640625" bestFit="1" customWidth="1"/>
    <col min="274" max="274" width="12.44140625" bestFit="1" customWidth="1"/>
    <col min="275" max="275" width="15.6640625" bestFit="1" customWidth="1"/>
    <col min="276" max="276" width="15.109375" bestFit="1" customWidth="1"/>
    <col min="277" max="277" width="15.6640625" bestFit="1" customWidth="1"/>
    <col min="278" max="278" width="12.44140625" bestFit="1" customWidth="1"/>
    <col min="279" max="279" width="15.6640625" bestFit="1" customWidth="1"/>
    <col min="280" max="280" width="12.44140625" bestFit="1" customWidth="1"/>
    <col min="281" max="281" width="15.6640625" bestFit="1" customWidth="1"/>
    <col min="282" max="282" width="15.109375" bestFit="1" customWidth="1"/>
    <col min="283" max="283" width="15.6640625" bestFit="1" customWidth="1"/>
    <col min="284" max="284" width="12.44140625" bestFit="1" customWidth="1"/>
    <col min="285" max="285" width="15.6640625" bestFit="1" customWidth="1"/>
    <col min="286" max="286" width="12.44140625" bestFit="1" customWidth="1"/>
    <col min="287" max="287" width="15.6640625" bestFit="1" customWidth="1"/>
    <col min="288" max="288" width="15.109375" bestFit="1" customWidth="1"/>
    <col min="289" max="289" width="15.6640625" bestFit="1" customWidth="1"/>
    <col min="290" max="290" width="12.44140625" bestFit="1" customWidth="1"/>
    <col min="291" max="291" width="15.6640625" bestFit="1" customWidth="1"/>
    <col min="292" max="292" width="12.44140625" bestFit="1" customWidth="1"/>
    <col min="293" max="293" width="15.6640625" bestFit="1" customWidth="1"/>
    <col min="294" max="294" width="15.109375" bestFit="1" customWidth="1"/>
    <col min="295" max="295" width="15.6640625" bestFit="1" customWidth="1"/>
    <col min="296" max="296" width="12.44140625" bestFit="1" customWidth="1"/>
    <col min="297" max="297" width="15.6640625" bestFit="1" customWidth="1"/>
    <col min="298" max="298" width="12.44140625" bestFit="1" customWidth="1"/>
    <col min="299" max="299" width="15.6640625" bestFit="1" customWidth="1"/>
    <col min="300" max="300" width="15.109375" bestFit="1" customWidth="1"/>
    <col min="301" max="301" width="15.6640625" bestFit="1" customWidth="1"/>
    <col min="302" max="302" width="12.44140625" bestFit="1" customWidth="1"/>
    <col min="303" max="303" width="15.6640625" bestFit="1" customWidth="1"/>
    <col min="304" max="304" width="12.44140625" bestFit="1" customWidth="1"/>
    <col min="305" max="305" width="15.6640625" bestFit="1" customWidth="1"/>
    <col min="306" max="306" width="15.109375" bestFit="1" customWidth="1"/>
    <col min="307" max="307" width="15.6640625" bestFit="1" customWidth="1"/>
    <col min="308" max="308" width="12.44140625" bestFit="1" customWidth="1"/>
    <col min="309" max="309" width="15.6640625" bestFit="1" customWidth="1"/>
    <col min="310" max="310" width="12.44140625" bestFit="1" customWidth="1"/>
    <col min="311" max="311" width="15.6640625" bestFit="1" customWidth="1"/>
    <col min="312" max="312" width="15.109375" bestFit="1" customWidth="1"/>
    <col min="313" max="313" width="15.6640625" bestFit="1" customWidth="1"/>
    <col min="314" max="314" width="12.44140625" bestFit="1" customWidth="1"/>
    <col min="315" max="315" width="15.6640625" bestFit="1" customWidth="1"/>
    <col min="316" max="316" width="12.44140625" bestFit="1" customWidth="1"/>
    <col min="317" max="317" width="15.6640625" bestFit="1" customWidth="1"/>
    <col min="318" max="318" width="15.109375" bestFit="1" customWidth="1"/>
    <col min="319" max="319" width="15.6640625" bestFit="1" customWidth="1"/>
    <col min="320" max="320" width="12.44140625" bestFit="1" customWidth="1"/>
    <col min="321" max="321" width="15.6640625" bestFit="1" customWidth="1"/>
    <col min="322" max="322" width="12.44140625" bestFit="1" customWidth="1"/>
    <col min="323" max="323" width="15.6640625" bestFit="1" customWidth="1"/>
    <col min="324" max="324" width="15.109375" bestFit="1" customWidth="1"/>
    <col min="325" max="325" width="15.6640625" bestFit="1" customWidth="1"/>
    <col min="326" max="326" width="12.44140625" bestFit="1" customWidth="1"/>
    <col min="327" max="327" width="15.6640625" bestFit="1" customWidth="1"/>
    <col min="328" max="328" width="12.44140625" bestFit="1" customWidth="1"/>
    <col min="329" max="329" width="15.6640625" bestFit="1" customWidth="1"/>
    <col min="330" max="330" width="15.109375" bestFit="1" customWidth="1"/>
    <col min="331" max="331" width="15.6640625" bestFit="1" customWidth="1"/>
    <col min="332" max="332" width="12.44140625" bestFit="1" customWidth="1"/>
    <col min="333" max="333" width="15.6640625" bestFit="1" customWidth="1"/>
    <col min="334" max="334" width="12.44140625" bestFit="1" customWidth="1"/>
    <col min="335" max="335" width="15.6640625" bestFit="1" customWidth="1"/>
    <col min="336" max="336" width="15.109375" bestFit="1" customWidth="1"/>
    <col min="337" max="337" width="15.6640625" bestFit="1" customWidth="1"/>
    <col min="338" max="338" width="12.44140625" bestFit="1" customWidth="1"/>
    <col min="339" max="339" width="15.6640625" bestFit="1" customWidth="1"/>
    <col min="340" max="340" width="12.44140625" bestFit="1" customWidth="1"/>
    <col min="341" max="341" width="15.6640625" bestFit="1" customWidth="1"/>
    <col min="342" max="342" width="15.109375" bestFit="1" customWidth="1"/>
    <col min="343" max="343" width="15.6640625" bestFit="1" customWidth="1"/>
    <col min="344" max="344" width="12.44140625" bestFit="1" customWidth="1"/>
    <col min="345" max="345" width="15.6640625" bestFit="1" customWidth="1"/>
    <col min="346" max="346" width="12.44140625" bestFit="1" customWidth="1"/>
    <col min="347" max="347" width="15.6640625" bestFit="1" customWidth="1"/>
    <col min="348" max="348" width="15.109375" bestFit="1" customWidth="1"/>
    <col min="349" max="349" width="15.6640625" bestFit="1" customWidth="1"/>
    <col min="350" max="350" width="12.44140625" bestFit="1" customWidth="1"/>
    <col min="351" max="351" width="15.6640625" bestFit="1" customWidth="1"/>
    <col min="352" max="352" width="12.44140625" bestFit="1" customWidth="1"/>
    <col min="353" max="353" width="15.6640625" bestFit="1" customWidth="1"/>
    <col min="354" max="354" width="15.109375" bestFit="1" customWidth="1"/>
    <col min="355" max="355" width="15.6640625" bestFit="1" customWidth="1"/>
    <col min="356" max="356" width="12.44140625" bestFit="1" customWidth="1"/>
    <col min="357" max="357" width="15.6640625" bestFit="1" customWidth="1"/>
    <col min="358" max="358" width="12.44140625" bestFit="1" customWidth="1"/>
    <col min="359" max="359" width="15.6640625" bestFit="1" customWidth="1"/>
    <col min="360" max="360" width="15.109375" bestFit="1" customWidth="1"/>
    <col min="361" max="361" width="15.6640625" bestFit="1" customWidth="1"/>
    <col min="362" max="362" width="12.44140625" bestFit="1" customWidth="1"/>
    <col min="363" max="363" width="15.6640625" bestFit="1" customWidth="1"/>
    <col min="364" max="364" width="12.44140625" bestFit="1" customWidth="1"/>
    <col min="365" max="365" width="15.6640625" bestFit="1" customWidth="1"/>
    <col min="366" max="366" width="15.109375" bestFit="1" customWidth="1"/>
    <col min="367" max="367" width="15.6640625" bestFit="1" customWidth="1"/>
    <col min="368" max="368" width="12.44140625" bestFit="1" customWidth="1"/>
    <col min="369" max="369" width="15.6640625" bestFit="1" customWidth="1"/>
    <col min="370" max="370" width="12.44140625" bestFit="1" customWidth="1"/>
    <col min="371" max="371" width="15.6640625" bestFit="1" customWidth="1"/>
    <col min="372" max="372" width="15.109375" bestFit="1" customWidth="1"/>
    <col min="373" max="373" width="15.6640625" bestFit="1" customWidth="1"/>
    <col min="374" max="374" width="12.44140625" bestFit="1" customWidth="1"/>
    <col min="375" max="375" width="15.6640625" bestFit="1" customWidth="1"/>
    <col min="376" max="376" width="12.44140625" bestFit="1" customWidth="1"/>
    <col min="377" max="377" width="15.6640625" bestFit="1" customWidth="1"/>
    <col min="378" max="378" width="15.109375" bestFit="1" customWidth="1"/>
    <col min="379" max="379" width="15.6640625" bestFit="1" customWidth="1"/>
    <col min="380" max="380" width="12.44140625" bestFit="1" customWidth="1"/>
    <col min="381" max="381" width="15.6640625" bestFit="1" customWidth="1"/>
    <col min="382" max="382" width="12.44140625" bestFit="1" customWidth="1"/>
    <col min="383" max="383" width="15.6640625" bestFit="1" customWidth="1"/>
    <col min="384" max="384" width="15.109375" bestFit="1" customWidth="1"/>
    <col min="385" max="385" width="15.6640625" bestFit="1" customWidth="1"/>
    <col min="386" max="386" width="12.44140625" bestFit="1" customWidth="1"/>
    <col min="387" max="387" width="15.6640625" bestFit="1" customWidth="1"/>
    <col min="388" max="388" width="12.44140625" bestFit="1" customWidth="1"/>
    <col min="389" max="389" width="15.6640625" bestFit="1" customWidth="1"/>
    <col min="390" max="390" width="15.109375" bestFit="1" customWidth="1"/>
    <col min="391" max="391" width="15.6640625" bestFit="1" customWidth="1"/>
    <col min="392" max="392" width="12.44140625" bestFit="1" customWidth="1"/>
    <col min="393" max="393" width="15.6640625" bestFit="1" customWidth="1"/>
    <col min="394" max="394" width="12.44140625" bestFit="1" customWidth="1"/>
    <col min="395" max="395" width="15.6640625" bestFit="1" customWidth="1"/>
    <col min="396" max="396" width="15.109375" bestFit="1" customWidth="1"/>
    <col min="397" max="397" width="15.6640625" bestFit="1" customWidth="1"/>
    <col min="398" max="398" width="12.44140625" bestFit="1" customWidth="1"/>
    <col min="399" max="399" width="15.6640625" bestFit="1" customWidth="1"/>
    <col min="400" max="400" width="12.44140625" bestFit="1" customWidth="1"/>
    <col min="401" max="401" width="15.6640625" bestFit="1" customWidth="1"/>
    <col min="402" max="402" width="15.109375" bestFit="1" customWidth="1"/>
    <col min="403" max="403" width="15.6640625" bestFit="1" customWidth="1"/>
    <col min="404" max="404" width="12.44140625" bestFit="1" customWidth="1"/>
    <col min="405" max="405" width="15.6640625" bestFit="1" customWidth="1"/>
    <col min="406" max="406" width="12.44140625" bestFit="1" customWidth="1"/>
    <col min="407" max="407" width="15.6640625" bestFit="1" customWidth="1"/>
    <col min="408" max="408" width="15.109375" bestFit="1" customWidth="1"/>
    <col min="409" max="409" width="15.6640625" bestFit="1" customWidth="1"/>
    <col min="410" max="410" width="12.44140625" bestFit="1" customWidth="1"/>
    <col min="411" max="411" width="15.6640625" bestFit="1" customWidth="1"/>
    <col min="412" max="412" width="12.44140625" bestFit="1" customWidth="1"/>
    <col min="413" max="413" width="15.6640625" bestFit="1" customWidth="1"/>
    <col min="414" max="414" width="15.109375" bestFit="1" customWidth="1"/>
    <col min="415" max="415" width="15.6640625" bestFit="1" customWidth="1"/>
    <col min="416" max="416" width="12.44140625" bestFit="1" customWidth="1"/>
    <col min="417" max="417" width="15.6640625" bestFit="1" customWidth="1"/>
    <col min="418" max="418" width="12.44140625" bestFit="1" customWidth="1"/>
    <col min="419" max="419" width="15.6640625" bestFit="1" customWidth="1"/>
    <col min="420" max="420" width="15.109375" bestFit="1" customWidth="1"/>
    <col min="421" max="421" width="15.6640625" bestFit="1" customWidth="1"/>
    <col min="422" max="422" width="12.44140625" bestFit="1" customWidth="1"/>
    <col min="423" max="423" width="15.6640625" bestFit="1" customWidth="1"/>
    <col min="424" max="424" width="12.44140625" bestFit="1" customWidth="1"/>
    <col min="425" max="425" width="15.6640625" bestFit="1" customWidth="1"/>
    <col min="426" max="426" width="15.109375" bestFit="1" customWidth="1"/>
    <col min="427" max="427" width="15.6640625" bestFit="1" customWidth="1"/>
    <col min="428" max="428" width="12.44140625" bestFit="1" customWidth="1"/>
    <col min="429" max="429" width="15.6640625" bestFit="1" customWidth="1"/>
    <col min="430" max="430" width="12.44140625" bestFit="1" customWidth="1"/>
    <col min="431" max="431" width="15.6640625" bestFit="1" customWidth="1"/>
    <col min="432" max="432" width="15.109375" bestFit="1" customWidth="1"/>
    <col min="433" max="433" width="15.6640625" bestFit="1" customWidth="1"/>
    <col min="434" max="434" width="12.44140625" bestFit="1" customWidth="1"/>
    <col min="435" max="435" width="15.6640625" bestFit="1" customWidth="1"/>
    <col min="436" max="436" width="12.44140625" bestFit="1" customWidth="1"/>
    <col min="437" max="437" width="15.6640625" bestFit="1" customWidth="1"/>
    <col min="438" max="438" width="15.109375" bestFit="1" customWidth="1"/>
    <col min="439" max="439" width="15.6640625" bestFit="1" customWidth="1"/>
    <col min="440" max="440" width="12.44140625" bestFit="1" customWidth="1"/>
    <col min="441" max="441" width="15.6640625" bestFit="1" customWidth="1"/>
    <col min="442" max="442" width="12.44140625" bestFit="1" customWidth="1"/>
    <col min="443" max="443" width="15.6640625" bestFit="1" customWidth="1"/>
    <col min="444" max="444" width="15.109375" bestFit="1" customWidth="1"/>
    <col min="445" max="445" width="15.6640625" bestFit="1" customWidth="1"/>
    <col min="446" max="446" width="12.44140625" bestFit="1" customWidth="1"/>
    <col min="447" max="447" width="15.6640625" bestFit="1" customWidth="1"/>
    <col min="448" max="448" width="12.44140625" bestFit="1" customWidth="1"/>
    <col min="449" max="449" width="15.6640625" bestFit="1" customWidth="1"/>
    <col min="450" max="450" width="15.109375" bestFit="1" customWidth="1"/>
    <col min="451" max="451" width="15.6640625" bestFit="1" customWidth="1"/>
    <col min="452" max="452" width="12.44140625" bestFit="1" customWidth="1"/>
    <col min="453" max="453" width="15.6640625" bestFit="1" customWidth="1"/>
    <col min="454" max="454" width="12.44140625" bestFit="1" customWidth="1"/>
    <col min="455" max="455" width="15.6640625" bestFit="1" customWidth="1"/>
    <col min="456" max="456" width="15.109375" bestFit="1" customWidth="1"/>
    <col min="457" max="457" width="15.6640625" bestFit="1" customWidth="1"/>
    <col min="458" max="458" width="12.44140625" bestFit="1" customWidth="1"/>
    <col min="459" max="459" width="15.6640625" bestFit="1" customWidth="1"/>
    <col min="460" max="460" width="12.44140625" bestFit="1" customWidth="1"/>
    <col min="461" max="461" width="15.6640625" bestFit="1" customWidth="1"/>
    <col min="462" max="462" width="15.109375" bestFit="1" customWidth="1"/>
    <col min="463" max="463" width="15.6640625" bestFit="1" customWidth="1"/>
    <col min="464" max="464" width="12.44140625" bestFit="1" customWidth="1"/>
    <col min="465" max="465" width="15.6640625" bestFit="1" customWidth="1"/>
    <col min="466" max="466" width="12.44140625" bestFit="1" customWidth="1"/>
    <col min="467" max="467" width="15.6640625" bestFit="1" customWidth="1"/>
    <col min="468" max="468" width="15.109375" bestFit="1" customWidth="1"/>
    <col min="469" max="469" width="15.6640625" bestFit="1" customWidth="1"/>
    <col min="470" max="470" width="12.44140625" bestFit="1" customWidth="1"/>
    <col min="471" max="471" width="15.6640625" bestFit="1" customWidth="1"/>
    <col min="472" max="472" width="12.44140625" bestFit="1" customWidth="1"/>
    <col min="473" max="473" width="15.6640625" bestFit="1" customWidth="1"/>
    <col min="474" max="474" width="15.109375" bestFit="1" customWidth="1"/>
    <col min="475" max="475" width="15.6640625" bestFit="1" customWidth="1"/>
    <col min="476" max="476" width="12.44140625" bestFit="1" customWidth="1"/>
    <col min="477" max="477" width="15.6640625" bestFit="1" customWidth="1"/>
    <col min="478" max="478" width="12.44140625" bestFit="1" customWidth="1"/>
    <col min="479" max="479" width="15.6640625" bestFit="1" customWidth="1"/>
    <col min="480" max="480" width="15.109375" bestFit="1" customWidth="1"/>
    <col min="481" max="481" width="15.6640625" bestFit="1" customWidth="1"/>
    <col min="482" max="482" width="12.44140625" bestFit="1" customWidth="1"/>
    <col min="483" max="483" width="15.6640625" bestFit="1" customWidth="1"/>
    <col min="484" max="484" width="12.44140625" bestFit="1" customWidth="1"/>
    <col min="485" max="485" width="15.6640625" bestFit="1" customWidth="1"/>
    <col min="486" max="486" width="15.109375" bestFit="1" customWidth="1"/>
    <col min="487" max="487" width="15.6640625" bestFit="1" customWidth="1"/>
    <col min="488" max="488" width="12.44140625" bestFit="1" customWidth="1"/>
    <col min="489" max="489" width="15.6640625" bestFit="1" customWidth="1"/>
    <col min="490" max="490" width="12.44140625" bestFit="1" customWidth="1"/>
    <col min="491" max="491" width="15.6640625" bestFit="1" customWidth="1"/>
    <col min="492" max="492" width="15.109375" bestFit="1" customWidth="1"/>
    <col min="493" max="493" width="15.6640625" bestFit="1" customWidth="1"/>
    <col min="494" max="494" width="12.44140625" bestFit="1" customWidth="1"/>
    <col min="495" max="495" width="15.6640625" bestFit="1" customWidth="1"/>
    <col min="496" max="496" width="12.44140625" bestFit="1" customWidth="1"/>
    <col min="497" max="497" width="15.6640625" bestFit="1" customWidth="1"/>
    <col min="498" max="498" width="15.109375" bestFit="1" customWidth="1"/>
    <col min="499" max="499" width="15.6640625" bestFit="1" customWidth="1"/>
    <col min="500" max="500" width="12.44140625" bestFit="1" customWidth="1"/>
    <col min="501" max="501" width="15.6640625" bestFit="1" customWidth="1"/>
    <col min="502" max="502" width="12.44140625" bestFit="1" customWidth="1"/>
    <col min="503" max="503" width="15.6640625" bestFit="1" customWidth="1"/>
    <col min="504" max="504" width="15.109375" bestFit="1" customWidth="1"/>
    <col min="505" max="505" width="15.6640625" bestFit="1" customWidth="1"/>
    <col min="506" max="506" width="12.44140625" bestFit="1" customWidth="1"/>
    <col min="507" max="507" width="15.6640625" bestFit="1" customWidth="1"/>
    <col min="508" max="508" width="12.44140625" bestFit="1" customWidth="1"/>
    <col min="509" max="509" width="15.6640625" bestFit="1" customWidth="1"/>
    <col min="510" max="510" width="15.109375" bestFit="1" customWidth="1"/>
    <col min="511" max="511" width="15.6640625" bestFit="1" customWidth="1"/>
    <col min="512" max="512" width="12.44140625" bestFit="1" customWidth="1"/>
    <col min="513" max="513" width="15.6640625" bestFit="1" customWidth="1"/>
    <col min="514" max="514" width="12.44140625" bestFit="1" customWidth="1"/>
    <col min="515" max="515" width="15.6640625" bestFit="1" customWidth="1"/>
    <col min="516" max="516" width="15.109375" bestFit="1" customWidth="1"/>
    <col min="517" max="517" width="15.6640625" bestFit="1" customWidth="1"/>
    <col min="518" max="518" width="12.44140625" bestFit="1" customWidth="1"/>
    <col min="519" max="519" width="15.6640625" bestFit="1" customWidth="1"/>
    <col min="520" max="520" width="12.44140625" bestFit="1" customWidth="1"/>
    <col min="521" max="521" width="15.6640625" bestFit="1" customWidth="1"/>
    <col min="522" max="522" width="15.109375" bestFit="1" customWidth="1"/>
    <col min="523" max="523" width="15.6640625" bestFit="1" customWidth="1"/>
    <col min="524" max="524" width="12.44140625" bestFit="1" customWidth="1"/>
    <col min="525" max="525" width="15.6640625" bestFit="1" customWidth="1"/>
    <col min="526" max="526" width="12.44140625" bestFit="1" customWidth="1"/>
    <col min="527" max="527" width="15.6640625" bestFit="1" customWidth="1"/>
    <col min="528" max="528" width="15.109375" bestFit="1" customWidth="1"/>
    <col min="529" max="529" width="15.6640625" bestFit="1" customWidth="1"/>
    <col min="530" max="530" width="12.44140625" bestFit="1" customWidth="1"/>
    <col min="531" max="531" width="15.6640625" bestFit="1" customWidth="1"/>
    <col min="532" max="532" width="12.44140625" bestFit="1" customWidth="1"/>
    <col min="533" max="533" width="15.6640625" bestFit="1" customWidth="1"/>
    <col min="534" max="534" width="15.109375" bestFit="1" customWidth="1"/>
    <col min="535" max="535" width="15.6640625" bestFit="1" customWidth="1"/>
    <col min="536" max="536" width="12.44140625" bestFit="1" customWidth="1"/>
    <col min="537" max="537" width="15.6640625" bestFit="1" customWidth="1"/>
    <col min="538" max="538" width="12.44140625" bestFit="1" customWidth="1"/>
    <col min="539" max="539" width="15.6640625" bestFit="1" customWidth="1"/>
    <col min="540" max="540" width="15.109375" bestFit="1" customWidth="1"/>
    <col min="541" max="541" width="15.6640625" bestFit="1" customWidth="1"/>
    <col min="542" max="542" width="12.44140625" bestFit="1" customWidth="1"/>
    <col min="543" max="543" width="15.6640625" bestFit="1" customWidth="1"/>
    <col min="544" max="544" width="12.44140625" bestFit="1" customWidth="1"/>
    <col min="545" max="545" width="15.6640625" bestFit="1" customWidth="1"/>
    <col min="546" max="546" width="15.109375" bestFit="1" customWidth="1"/>
    <col min="547" max="547" width="15.6640625" bestFit="1" customWidth="1"/>
    <col min="548" max="548" width="12.44140625" bestFit="1" customWidth="1"/>
    <col min="549" max="549" width="15.6640625" bestFit="1" customWidth="1"/>
    <col min="550" max="550" width="12.44140625" bestFit="1" customWidth="1"/>
    <col min="551" max="551" width="15.6640625" bestFit="1" customWidth="1"/>
    <col min="552" max="552" width="15.109375" bestFit="1" customWidth="1"/>
    <col min="553" max="553" width="15.6640625" bestFit="1" customWidth="1"/>
    <col min="554" max="554" width="12.44140625" bestFit="1" customWidth="1"/>
    <col min="555" max="555" width="15.6640625" bestFit="1" customWidth="1"/>
    <col min="556" max="556" width="12.44140625" bestFit="1" customWidth="1"/>
    <col min="557" max="557" width="15.6640625" bestFit="1" customWidth="1"/>
    <col min="558" max="558" width="15.109375" bestFit="1" customWidth="1"/>
    <col min="559" max="559" width="15.6640625" bestFit="1" customWidth="1"/>
    <col min="560" max="560" width="12.44140625" bestFit="1" customWidth="1"/>
    <col min="561" max="561" width="15.6640625" bestFit="1" customWidth="1"/>
    <col min="562" max="562" width="12.44140625" bestFit="1" customWidth="1"/>
    <col min="563" max="563" width="15.6640625" bestFit="1" customWidth="1"/>
    <col min="564" max="564" width="15.109375" bestFit="1" customWidth="1"/>
    <col min="565" max="565" width="15.6640625" bestFit="1" customWidth="1"/>
    <col min="566" max="566" width="12.44140625" bestFit="1" customWidth="1"/>
    <col min="567" max="567" width="15.6640625" bestFit="1" customWidth="1"/>
    <col min="568" max="568" width="12.44140625" bestFit="1" customWidth="1"/>
    <col min="569" max="569" width="15.6640625" bestFit="1" customWidth="1"/>
    <col min="570" max="570" width="15.109375" bestFit="1" customWidth="1"/>
    <col min="571" max="571" width="15.6640625" bestFit="1" customWidth="1"/>
    <col min="572" max="572" width="12.44140625" bestFit="1" customWidth="1"/>
    <col min="573" max="573" width="15.6640625" bestFit="1" customWidth="1"/>
    <col min="574" max="574" width="12.44140625" bestFit="1" customWidth="1"/>
    <col min="575" max="575" width="15.6640625" bestFit="1" customWidth="1"/>
    <col min="576" max="576" width="15.109375" bestFit="1" customWidth="1"/>
    <col min="577" max="577" width="15.6640625" bestFit="1" customWidth="1"/>
    <col min="578" max="578" width="12.44140625" bestFit="1" customWidth="1"/>
    <col min="579" max="579" width="15.6640625" bestFit="1" customWidth="1"/>
    <col min="580" max="580" width="12.44140625" bestFit="1" customWidth="1"/>
    <col min="581" max="581" width="15.6640625" bestFit="1" customWidth="1"/>
    <col min="582" max="582" width="15.109375" bestFit="1" customWidth="1"/>
    <col min="583" max="583" width="15.6640625" bestFit="1" customWidth="1"/>
    <col min="584" max="584" width="12.44140625" bestFit="1" customWidth="1"/>
    <col min="585" max="585" width="15.6640625" bestFit="1" customWidth="1"/>
    <col min="586" max="586" width="12.44140625" bestFit="1" customWidth="1"/>
    <col min="587" max="587" width="15.6640625" bestFit="1" customWidth="1"/>
    <col min="588" max="588" width="15.109375" bestFit="1" customWidth="1"/>
    <col min="589" max="589" width="15.6640625" bestFit="1" customWidth="1"/>
    <col min="590" max="590" width="12.44140625" bestFit="1" customWidth="1"/>
    <col min="591" max="591" width="15.6640625" bestFit="1" customWidth="1"/>
    <col min="592" max="592" width="12.44140625" bestFit="1" customWidth="1"/>
    <col min="593" max="593" width="15.6640625" bestFit="1" customWidth="1"/>
    <col min="594" max="594" width="15.109375" bestFit="1" customWidth="1"/>
    <col min="595" max="595" width="15.6640625" bestFit="1" customWidth="1"/>
    <col min="596" max="596" width="12.44140625" bestFit="1" customWidth="1"/>
    <col min="597" max="597" width="15.6640625" bestFit="1" customWidth="1"/>
    <col min="598" max="598" width="12.44140625" bestFit="1" customWidth="1"/>
    <col min="599" max="599" width="15.6640625" bestFit="1" customWidth="1"/>
    <col min="600" max="600" width="15.109375" bestFit="1" customWidth="1"/>
    <col min="601" max="601" width="15.6640625" bestFit="1" customWidth="1"/>
    <col min="602" max="602" width="12.44140625" bestFit="1" customWidth="1"/>
    <col min="603" max="603" width="15.6640625" bestFit="1" customWidth="1"/>
    <col min="604" max="604" width="12.44140625" bestFit="1" customWidth="1"/>
    <col min="605" max="605" width="15.6640625" bestFit="1" customWidth="1"/>
    <col min="606" max="606" width="15.109375" bestFit="1" customWidth="1"/>
    <col min="607" max="607" width="15.6640625" bestFit="1" customWidth="1"/>
    <col min="608" max="608" width="12.44140625" bestFit="1" customWidth="1"/>
    <col min="609" max="609" width="15.6640625" bestFit="1" customWidth="1"/>
    <col min="610" max="610" width="12.44140625" bestFit="1" customWidth="1"/>
    <col min="611" max="611" width="15.6640625" bestFit="1" customWidth="1"/>
    <col min="612" max="612" width="15.109375" bestFit="1" customWidth="1"/>
    <col min="613" max="613" width="15.6640625" bestFit="1" customWidth="1"/>
    <col min="614" max="614" width="12.44140625" bestFit="1" customWidth="1"/>
    <col min="615" max="615" width="15.6640625" bestFit="1" customWidth="1"/>
    <col min="616" max="616" width="12.44140625" bestFit="1" customWidth="1"/>
    <col min="617" max="617" width="15.6640625" bestFit="1" customWidth="1"/>
    <col min="618" max="618" width="15.109375" bestFit="1" customWidth="1"/>
    <col min="619" max="619" width="15.6640625" bestFit="1" customWidth="1"/>
    <col min="620" max="620" width="12.44140625" bestFit="1" customWidth="1"/>
    <col min="621" max="621" width="15.6640625" bestFit="1" customWidth="1"/>
    <col min="622" max="622" width="12.44140625" bestFit="1" customWidth="1"/>
    <col min="623" max="623" width="15.6640625" bestFit="1" customWidth="1"/>
    <col min="624" max="624" width="15.109375" bestFit="1" customWidth="1"/>
    <col min="625" max="625" width="15.6640625" bestFit="1" customWidth="1"/>
    <col min="626" max="626" width="12.44140625" bestFit="1" customWidth="1"/>
    <col min="627" max="627" width="15.6640625" bestFit="1" customWidth="1"/>
    <col min="628" max="628" width="12.44140625" bestFit="1" customWidth="1"/>
    <col min="629" max="629" width="15.6640625" bestFit="1" customWidth="1"/>
    <col min="630" max="630" width="15.109375" bestFit="1" customWidth="1"/>
    <col min="631" max="631" width="15.6640625" bestFit="1" customWidth="1"/>
    <col min="632" max="632" width="12.44140625" bestFit="1" customWidth="1"/>
    <col min="633" max="633" width="15.6640625" bestFit="1" customWidth="1"/>
    <col min="634" max="634" width="12.44140625" bestFit="1" customWidth="1"/>
    <col min="635" max="635" width="15.6640625" bestFit="1" customWidth="1"/>
    <col min="636" max="636" width="15.109375" bestFit="1" customWidth="1"/>
    <col min="637" max="637" width="15.6640625" bestFit="1" customWidth="1"/>
    <col min="638" max="638" width="12.44140625" bestFit="1" customWidth="1"/>
    <col min="639" max="639" width="15.6640625" bestFit="1" customWidth="1"/>
    <col min="640" max="640" width="12.44140625" bestFit="1" customWidth="1"/>
    <col min="641" max="641" width="15.6640625" bestFit="1" customWidth="1"/>
    <col min="642" max="642" width="15.109375" bestFit="1" customWidth="1"/>
    <col min="643" max="643" width="15.6640625" bestFit="1" customWidth="1"/>
    <col min="644" max="644" width="12.44140625" bestFit="1" customWidth="1"/>
    <col min="645" max="645" width="15.6640625" bestFit="1" customWidth="1"/>
    <col min="646" max="646" width="12.44140625" bestFit="1" customWidth="1"/>
    <col min="647" max="647" width="15.6640625" bestFit="1" customWidth="1"/>
    <col min="648" max="648" width="15.109375" bestFit="1" customWidth="1"/>
    <col min="649" max="649" width="15.6640625" bestFit="1" customWidth="1"/>
    <col min="650" max="650" width="12.44140625" bestFit="1" customWidth="1"/>
    <col min="651" max="651" width="15.6640625" bestFit="1" customWidth="1"/>
    <col min="652" max="652" width="12.44140625" bestFit="1" customWidth="1"/>
    <col min="653" max="653" width="15.6640625" bestFit="1" customWidth="1"/>
    <col min="654" max="654" width="15.109375" bestFit="1" customWidth="1"/>
    <col min="655" max="655" width="15.6640625" bestFit="1" customWidth="1"/>
    <col min="656" max="656" width="12.44140625" bestFit="1" customWidth="1"/>
    <col min="657" max="657" width="15.6640625" bestFit="1" customWidth="1"/>
    <col min="658" max="658" width="12.44140625" bestFit="1" customWidth="1"/>
    <col min="659" max="659" width="15.6640625" bestFit="1" customWidth="1"/>
    <col min="660" max="660" width="15.109375" bestFit="1" customWidth="1"/>
    <col min="661" max="661" width="15.6640625" bestFit="1" customWidth="1"/>
    <col min="662" max="662" width="12.44140625" bestFit="1" customWidth="1"/>
    <col min="663" max="663" width="15.6640625" bestFit="1" customWidth="1"/>
    <col min="664" max="664" width="12.44140625" bestFit="1" customWidth="1"/>
    <col min="665" max="665" width="15.6640625" bestFit="1" customWidth="1"/>
    <col min="666" max="666" width="15.109375" bestFit="1" customWidth="1"/>
    <col min="667" max="667" width="15.6640625" bestFit="1" customWidth="1"/>
    <col min="668" max="668" width="12.44140625" bestFit="1" customWidth="1"/>
    <col min="669" max="669" width="15.6640625" bestFit="1" customWidth="1"/>
    <col min="670" max="670" width="12.44140625" bestFit="1" customWidth="1"/>
    <col min="671" max="671" width="15.6640625" bestFit="1" customWidth="1"/>
    <col min="672" max="672" width="15.109375" bestFit="1" customWidth="1"/>
    <col min="673" max="673" width="15.6640625" bestFit="1" customWidth="1"/>
    <col min="674" max="674" width="12.44140625" bestFit="1" customWidth="1"/>
    <col min="675" max="675" width="15.6640625" bestFit="1" customWidth="1"/>
    <col min="676" max="676" width="12.44140625" bestFit="1" customWidth="1"/>
    <col min="677" max="677" width="15.6640625" bestFit="1" customWidth="1"/>
    <col min="678" max="678" width="15.109375" bestFit="1" customWidth="1"/>
    <col min="679" max="679" width="15.6640625" bestFit="1" customWidth="1"/>
    <col min="680" max="680" width="12.44140625" bestFit="1" customWidth="1"/>
    <col min="681" max="681" width="15.6640625" bestFit="1" customWidth="1"/>
    <col min="682" max="682" width="12.44140625" bestFit="1" customWidth="1"/>
    <col min="683" max="683" width="15.6640625" bestFit="1" customWidth="1"/>
    <col min="684" max="684" width="15.109375" bestFit="1" customWidth="1"/>
    <col min="685" max="685" width="15.6640625" bestFit="1" customWidth="1"/>
    <col min="686" max="686" width="12.44140625" bestFit="1" customWidth="1"/>
    <col min="687" max="687" width="15.6640625" bestFit="1" customWidth="1"/>
    <col min="688" max="688" width="12.44140625" bestFit="1" customWidth="1"/>
    <col min="689" max="689" width="15.6640625" bestFit="1" customWidth="1"/>
    <col min="690" max="690" width="15.109375" bestFit="1" customWidth="1"/>
    <col min="691" max="691" width="15.6640625" bestFit="1" customWidth="1"/>
    <col min="692" max="692" width="12.44140625" bestFit="1" customWidth="1"/>
    <col min="693" max="693" width="15.6640625" bestFit="1" customWidth="1"/>
    <col min="694" max="694" width="11.21875" bestFit="1" customWidth="1"/>
  </cols>
  <sheetData>
    <row r="1" spans="1:29" s="35" customFormat="1" ht="14.4" customHeight="1" x14ac:dyDescent="0.3">
      <c r="A1" s="47" t="s">
        <v>1616</v>
      </c>
      <c r="B1" s="45"/>
      <c r="C1" s="45"/>
      <c r="D1" s="45"/>
      <c r="E1" s="45"/>
      <c r="F1" s="45"/>
      <c r="G1" s="45"/>
      <c r="H1" s="45"/>
      <c r="I1" s="45"/>
      <c r="J1" s="45"/>
      <c r="K1" s="45"/>
      <c r="L1" s="45"/>
      <c r="M1" s="45"/>
      <c r="N1" s="45"/>
      <c r="O1" s="45"/>
      <c r="P1" s="45"/>
      <c r="Q1" s="45"/>
      <c r="R1" s="45"/>
      <c r="S1" s="45"/>
      <c r="T1" s="45"/>
      <c r="U1" s="45"/>
      <c r="V1" s="45"/>
      <c r="W1" s="45"/>
      <c r="X1" s="46"/>
      <c r="Y1" s="46"/>
      <c r="Z1" s="46"/>
      <c r="AA1" s="46"/>
      <c r="AB1" s="46"/>
      <c r="AC1" s="46"/>
    </row>
    <row r="2" spans="1:29" s="35" customFormat="1" ht="14.4" customHeight="1" x14ac:dyDescent="0.3">
      <c r="A2" s="47"/>
      <c r="B2" s="45"/>
      <c r="C2" s="45"/>
      <c r="D2" s="45"/>
      <c r="E2" s="45"/>
      <c r="F2" s="45"/>
      <c r="G2" s="45"/>
      <c r="H2" s="45"/>
      <c r="I2" s="45"/>
      <c r="J2" s="45"/>
      <c r="K2" s="45"/>
      <c r="L2" s="45"/>
      <c r="M2" s="45"/>
      <c r="N2" s="45"/>
      <c r="O2" s="45"/>
      <c r="P2" s="45"/>
      <c r="Q2" s="45"/>
      <c r="R2" s="45"/>
      <c r="S2" s="45"/>
      <c r="T2" s="45"/>
      <c r="U2" s="45"/>
      <c r="V2" s="45"/>
      <c r="W2" s="45"/>
      <c r="X2" s="46"/>
      <c r="Y2" s="46"/>
      <c r="Z2" s="46"/>
      <c r="AA2" s="46"/>
      <c r="AB2" s="46"/>
      <c r="AC2" s="46"/>
    </row>
    <row r="3" spans="1:29" s="35" customFormat="1" ht="15" customHeight="1" x14ac:dyDescent="0.3">
      <c r="A3" s="47"/>
      <c r="B3" s="45"/>
      <c r="C3" s="45"/>
      <c r="D3" s="45"/>
      <c r="E3" s="45"/>
      <c r="F3" s="45"/>
      <c r="G3" s="45"/>
      <c r="H3" s="45"/>
      <c r="I3" s="45"/>
      <c r="J3" s="45"/>
      <c r="K3" s="45"/>
      <c r="L3" s="45"/>
      <c r="M3" s="45"/>
      <c r="N3" s="45"/>
      <c r="O3" s="45"/>
      <c r="P3" s="45"/>
      <c r="Q3" s="45"/>
      <c r="R3" s="45"/>
      <c r="S3" s="45"/>
      <c r="T3" s="45"/>
      <c r="U3" s="45"/>
      <c r="V3" s="45"/>
      <c r="W3" s="45"/>
      <c r="X3" s="46"/>
      <c r="Y3" s="46"/>
      <c r="Z3" s="46"/>
      <c r="AA3" s="46"/>
      <c r="AB3" s="46"/>
      <c r="AC3" s="46"/>
    </row>
    <row r="7" spans="1:29" x14ac:dyDescent="0.3">
      <c r="A7" s="26" t="s">
        <v>1519</v>
      </c>
      <c r="B7" s="26" t="s">
        <v>1484</v>
      </c>
      <c r="C7" s="26" t="s">
        <v>1617</v>
      </c>
      <c r="D7" s="37" t="s">
        <v>1543</v>
      </c>
    </row>
    <row r="8" spans="1:29" x14ac:dyDescent="0.3">
      <c r="A8" s="43">
        <v>45565</v>
      </c>
      <c r="B8" s="6">
        <v>26</v>
      </c>
      <c r="C8" s="6">
        <v>11</v>
      </c>
      <c r="D8" s="42">
        <v>0.6</v>
      </c>
    </row>
    <row r="9" spans="1:29" x14ac:dyDescent="0.3">
      <c r="A9" s="43">
        <v>45572</v>
      </c>
      <c r="B9" s="6">
        <v>30</v>
      </c>
      <c r="C9" s="6">
        <v>11</v>
      </c>
      <c r="D9" s="42">
        <v>0.6071428571428571</v>
      </c>
    </row>
    <row r="10" spans="1:29" x14ac:dyDescent="0.3">
      <c r="A10" s="43">
        <v>45579</v>
      </c>
      <c r="B10" s="6">
        <v>28</v>
      </c>
      <c r="C10" s="6">
        <v>13</v>
      </c>
      <c r="D10" s="42">
        <v>0.6071428571428571</v>
      </c>
    </row>
    <row r="11" spans="1:29" x14ac:dyDescent="0.3">
      <c r="A11" s="43">
        <v>45586</v>
      </c>
      <c r="B11" s="6">
        <v>27</v>
      </c>
      <c r="C11" s="6">
        <v>10</v>
      </c>
      <c r="D11" s="42">
        <v>0.5714285714285714</v>
      </c>
    </row>
    <row r="12" spans="1:29" x14ac:dyDescent="0.3">
      <c r="A12" s="43">
        <v>45593</v>
      </c>
      <c r="B12" s="6">
        <v>33</v>
      </c>
      <c r="C12" s="6">
        <v>24</v>
      </c>
      <c r="D12" s="42">
        <v>0.39285714285714285</v>
      </c>
    </row>
    <row r="13" spans="1:29" x14ac:dyDescent="0.3">
      <c r="A13" s="43">
        <v>45600</v>
      </c>
      <c r="B13" s="6">
        <v>21</v>
      </c>
      <c r="C13" s="6">
        <v>11</v>
      </c>
      <c r="D13" s="42">
        <v>0.59090909090909094</v>
      </c>
    </row>
    <row r="14" spans="1:29" x14ac:dyDescent="0.3">
      <c r="A14" s="43">
        <v>45607</v>
      </c>
      <c r="B14" s="6">
        <v>21</v>
      </c>
      <c r="C14" s="6">
        <v>12</v>
      </c>
      <c r="D14" s="42">
        <v>0.52380952380952384</v>
      </c>
    </row>
    <row r="15" spans="1:29" x14ac:dyDescent="0.3">
      <c r="A15" s="43">
        <v>45614</v>
      </c>
      <c r="B15" s="6">
        <v>21</v>
      </c>
      <c r="C15" s="6">
        <v>11</v>
      </c>
      <c r="D15" s="42">
        <v>0.5714285714285714</v>
      </c>
    </row>
    <row r="16" spans="1:29" x14ac:dyDescent="0.3">
      <c r="A16" s="43">
        <v>45621</v>
      </c>
      <c r="B16" s="6">
        <v>22</v>
      </c>
      <c r="C16" s="6">
        <v>13</v>
      </c>
      <c r="D16" s="42">
        <v>0.52380952380952384</v>
      </c>
    </row>
    <row r="17" spans="1:4" x14ac:dyDescent="0.3">
      <c r="A17" s="43">
        <v>45628</v>
      </c>
      <c r="B17" s="6">
        <v>28</v>
      </c>
      <c r="C17" s="6">
        <v>11</v>
      </c>
      <c r="D17" s="42">
        <v>0.72727272727272729</v>
      </c>
    </row>
    <row r="18" spans="1:4" x14ac:dyDescent="0.3">
      <c r="A18" s="43">
        <v>45635</v>
      </c>
      <c r="B18" s="6">
        <v>28</v>
      </c>
      <c r="C18" s="6">
        <v>16</v>
      </c>
      <c r="D18" s="42">
        <v>0.37037037037037035</v>
      </c>
    </row>
    <row r="19" spans="1:4" x14ac:dyDescent="0.3">
      <c r="A19" s="43">
        <v>45642</v>
      </c>
      <c r="B19" s="6">
        <v>28</v>
      </c>
      <c r="C19" s="6">
        <v>17</v>
      </c>
      <c r="D19" s="42">
        <v>0.4642857142857143</v>
      </c>
    </row>
    <row r="20" spans="1:4" x14ac:dyDescent="0.3">
      <c r="A20" s="43">
        <v>45649</v>
      </c>
      <c r="B20" s="6">
        <v>28</v>
      </c>
      <c r="C20" s="6">
        <v>17</v>
      </c>
      <c r="D20" s="42">
        <v>0.36666666666666664</v>
      </c>
    </row>
    <row r="21" spans="1:4" x14ac:dyDescent="0.3">
      <c r="A21" s="43">
        <v>45656</v>
      </c>
      <c r="B21" s="6">
        <v>5</v>
      </c>
      <c r="C21" s="6">
        <v>3</v>
      </c>
      <c r="D21" s="42">
        <v>0.42307692307692307</v>
      </c>
    </row>
    <row r="23" spans="1:4" x14ac:dyDescent="0.3">
      <c r="A23" s="44" t="s">
        <v>1618</v>
      </c>
      <c r="B23" s="44"/>
      <c r="C23" s="44"/>
      <c r="D23" s="44"/>
    </row>
    <row r="24" spans="1:4" x14ac:dyDescent="0.3">
      <c r="A24" s="44"/>
      <c r="B24" s="44"/>
      <c r="C24" s="44"/>
      <c r="D24" s="44"/>
    </row>
    <row r="25" spans="1:4" x14ac:dyDescent="0.3">
      <c r="A25" s="44"/>
      <c r="B25" s="44"/>
      <c r="C25" s="44"/>
      <c r="D25" s="44"/>
    </row>
    <row r="26" spans="1:4" x14ac:dyDescent="0.3">
      <c r="A26" s="44"/>
      <c r="B26" s="44"/>
      <c r="C26" s="44"/>
      <c r="D26" s="44"/>
    </row>
    <row r="27" spans="1:4" x14ac:dyDescent="0.3">
      <c r="A27" s="44"/>
      <c r="B27" s="44"/>
      <c r="C27" s="44"/>
      <c r="D27" s="44"/>
    </row>
    <row r="28" spans="1:4" x14ac:dyDescent="0.3">
      <c r="A28" s="44"/>
      <c r="B28" s="44"/>
      <c r="C28" s="44"/>
      <c r="D28" s="44"/>
    </row>
    <row r="29" spans="1:4" x14ac:dyDescent="0.3">
      <c r="A29" s="44"/>
      <c r="B29" s="44"/>
      <c r="C29" s="44"/>
      <c r="D29" s="44"/>
    </row>
    <row r="41" spans="1:5" x14ac:dyDescent="0.3">
      <c r="A41" s="26" t="s">
        <v>5</v>
      </c>
      <c r="B41" s="26" t="s">
        <v>1484</v>
      </c>
      <c r="C41" s="26" t="s">
        <v>1617</v>
      </c>
      <c r="D41" s="26" t="s">
        <v>1543</v>
      </c>
      <c r="E41" s="26" t="s">
        <v>1620</v>
      </c>
    </row>
    <row r="42" spans="1:5" x14ac:dyDescent="0.3">
      <c r="A42" s="6" t="s">
        <v>72</v>
      </c>
      <c r="B42" s="6">
        <v>68</v>
      </c>
      <c r="C42" s="6">
        <v>16</v>
      </c>
      <c r="D42" s="8">
        <f>C42/B42</f>
        <v>0.23529411764705882</v>
      </c>
      <c r="E42" s="8">
        <f>AVERAGE($D$42:$D$46)</f>
        <v>0.51814937056400967</v>
      </c>
    </row>
    <row r="43" spans="1:5" x14ac:dyDescent="0.3">
      <c r="A43" s="6" t="s">
        <v>54</v>
      </c>
      <c r="B43" s="6">
        <v>67</v>
      </c>
      <c r="C43" s="6">
        <v>25</v>
      </c>
      <c r="D43" s="8">
        <f t="shared" ref="D43:D46" si="0">C43/B43</f>
        <v>0.37313432835820898</v>
      </c>
      <c r="E43" s="8">
        <f t="shared" ref="E43:E46" si="1">AVERAGE($D$42:$D$46)</f>
        <v>0.51814937056400967</v>
      </c>
    </row>
    <row r="44" spans="1:5" x14ac:dyDescent="0.3">
      <c r="A44" s="6" t="s">
        <v>41</v>
      </c>
      <c r="B44" s="6">
        <v>70</v>
      </c>
      <c r="C44" s="6">
        <v>44</v>
      </c>
      <c r="D44" s="8">
        <f t="shared" si="0"/>
        <v>0.62857142857142856</v>
      </c>
      <c r="E44" s="8">
        <f t="shared" si="1"/>
        <v>0.51814937056400967</v>
      </c>
    </row>
    <row r="45" spans="1:5" x14ac:dyDescent="0.3">
      <c r="A45" s="6" t="s">
        <v>62</v>
      </c>
      <c r="B45" s="6">
        <v>68</v>
      </c>
      <c r="C45" s="6">
        <v>52</v>
      </c>
      <c r="D45" s="8">
        <f t="shared" si="0"/>
        <v>0.76470588235294112</v>
      </c>
      <c r="E45" s="8">
        <f t="shared" si="1"/>
        <v>0.51814937056400967</v>
      </c>
    </row>
    <row r="46" spans="1:5" x14ac:dyDescent="0.3">
      <c r="A46" s="6" t="s">
        <v>27</v>
      </c>
      <c r="B46" s="6">
        <v>73</v>
      </c>
      <c r="C46" s="6">
        <v>43</v>
      </c>
      <c r="D46" s="8">
        <f t="shared" si="0"/>
        <v>0.58904109589041098</v>
      </c>
      <c r="E46" s="8">
        <f t="shared" si="1"/>
        <v>0.51814937056400967</v>
      </c>
    </row>
    <row r="48" spans="1:5" x14ac:dyDescent="0.3">
      <c r="D48" s="26" t="s">
        <v>1619</v>
      </c>
    </row>
    <row r="49" spans="1:5" x14ac:dyDescent="0.3">
      <c r="D49" s="8">
        <f>AVERAGE($D$42:$D$46)</f>
        <v>0.51814937056400967</v>
      </c>
    </row>
    <row r="52" spans="1:5" x14ac:dyDescent="0.3">
      <c r="A52" s="44" t="s">
        <v>1621</v>
      </c>
      <c r="B52" s="44"/>
      <c r="C52" s="44"/>
      <c r="D52" s="44"/>
      <c r="E52" s="44"/>
    </row>
    <row r="53" spans="1:5" x14ac:dyDescent="0.3">
      <c r="A53" s="44"/>
      <c r="B53" s="44"/>
      <c r="C53" s="44"/>
      <c r="D53" s="44"/>
      <c r="E53" s="44"/>
    </row>
    <row r="54" spans="1:5" x14ac:dyDescent="0.3">
      <c r="A54" s="44"/>
      <c r="B54" s="44"/>
      <c r="C54" s="44"/>
      <c r="D54" s="44"/>
      <c r="E54" s="44"/>
    </row>
    <row r="55" spans="1:5" x14ac:dyDescent="0.3">
      <c r="A55" s="44"/>
      <c r="B55" s="44"/>
      <c r="C55" s="44"/>
      <c r="D55" s="44"/>
      <c r="E55" s="44"/>
    </row>
    <row r="56" spans="1:5" x14ac:dyDescent="0.3">
      <c r="A56" s="44"/>
      <c r="B56" s="44"/>
      <c r="C56" s="44"/>
      <c r="D56" s="44"/>
      <c r="E56" s="44"/>
    </row>
    <row r="71" spans="1:3" x14ac:dyDescent="0.3">
      <c r="A71" s="26" t="s">
        <v>20</v>
      </c>
      <c r="B71" s="26" t="s">
        <v>1617</v>
      </c>
      <c r="C71" s="26" t="s">
        <v>1622</v>
      </c>
    </row>
    <row r="72" spans="1:3" x14ac:dyDescent="0.3">
      <c r="A72" s="6" t="s">
        <v>80</v>
      </c>
      <c r="B72" s="6">
        <v>29</v>
      </c>
      <c r="C72" s="8">
        <v>0.16111111111111112</v>
      </c>
    </row>
    <row r="73" spans="1:3" x14ac:dyDescent="0.3">
      <c r="A73" s="6" t="s">
        <v>139</v>
      </c>
      <c r="B73" s="6">
        <v>24</v>
      </c>
      <c r="C73" s="8">
        <v>0.13333333333333333</v>
      </c>
    </row>
    <row r="74" spans="1:3" x14ac:dyDescent="0.3">
      <c r="A74" s="6" t="s">
        <v>69</v>
      </c>
      <c r="B74" s="6">
        <v>32</v>
      </c>
      <c r="C74" s="8">
        <v>0.17777777777777778</v>
      </c>
    </row>
    <row r="75" spans="1:3" x14ac:dyDescent="0.3">
      <c r="A75" s="6" t="s">
        <v>48</v>
      </c>
      <c r="B75" s="6">
        <v>67</v>
      </c>
      <c r="C75" s="8">
        <v>0.37222222222222223</v>
      </c>
    </row>
    <row r="76" spans="1:3" x14ac:dyDescent="0.3">
      <c r="A76" s="6" t="s">
        <v>105</v>
      </c>
      <c r="B76" s="6">
        <v>28</v>
      </c>
      <c r="C76" s="8">
        <v>0.15555555555555556</v>
      </c>
    </row>
    <row r="78" spans="1:3" x14ac:dyDescent="0.3">
      <c r="A78" s="44" t="s">
        <v>1623</v>
      </c>
      <c r="B78" s="44"/>
      <c r="C78" s="44"/>
    </row>
    <row r="79" spans="1:3" x14ac:dyDescent="0.3">
      <c r="A79" s="44"/>
      <c r="B79" s="44"/>
      <c r="C79" s="44"/>
    </row>
    <row r="80" spans="1:3" x14ac:dyDescent="0.3">
      <c r="A80" s="44"/>
      <c r="B80" s="44"/>
      <c r="C80" s="44"/>
    </row>
    <row r="81" spans="1:3" x14ac:dyDescent="0.3">
      <c r="A81" s="44"/>
      <c r="B81" s="44"/>
      <c r="C81" s="44"/>
    </row>
    <row r="82" spans="1:3" x14ac:dyDescent="0.3">
      <c r="A82" s="44"/>
      <c r="B82" s="44"/>
      <c r="C82" s="44"/>
    </row>
    <row r="83" spans="1:3" x14ac:dyDescent="0.3">
      <c r="A83" s="44"/>
      <c r="B83" s="44"/>
      <c r="C83" s="44"/>
    </row>
    <row r="84" spans="1:3" x14ac:dyDescent="0.3">
      <c r="A84" s="44"/>
      <c r="B84" s="44"/>
      <c r="C84" s="44"/>
    </row>
    <row r="101" spans="1:4" x14ac:dyDescent="0.3">
      <c r="A101" s="11" t="s">
        <v>1624</v>
      </c>
      <c r="B101" s="11" t="s">
        <v>1499</v>
      </c>
    </row>
    <row r="102" spans="1:4" x14ac:dyDescent="0.3">
      <c r="A102" s="11" t="s">
        <v>1493</v>
      </c>
      <c r="B102" t="s">
        <v>66</v>
      </c>
      <c r="C102" t="s">
        <v>45</v>
      </c>
      <c r="D102" t="s">
        <v>31</v>
      </c>
    </row>
    <row r="103" spans="1:4" x14ac:dyDescent="0.3">
      <c r="A103" s="12" t="s">
        <v>25</v>
      </c>
      <c r="B103" s="24">
        <v>0.35</v>
      </c>
      <c r="C103" s="24">
        <v>0.25555555555555554</v>
      </c>
      <c r="D103" s="24">
        <v>0.21111111111111111</v>
      </c>
    </row>
    <row r="104" spans="1:4" x14ac:dyDescent="0.3">
      <c r="A104" s="12" t="s">
        <v>39</v>
      </c>
      <c r="B104" s="24">
        <v>4.4444444444444446E-2</v>
      </c>
      <c r="C104" s="24">
        <v>8.3333333333333329E-2</v>
      </c>
      <c r="D104" s="24">
        <v>5.5555555555555552E-2</v>
      </c>
    </row>
    <row r="107" spans="1:4" x14ac:dyDescent="0.3">
      <c r="A107" s="44" t="s">
        <v>1625</v>
      </c>
      <c r="B107" s="44"/>
      <c r="C107" s="44"/>
      <c r="D107" s="44"/>
    </row>
    <row r="108" spans="1:4" x14ac:dyDescent="0.3">
      <c r="A108" s="44"/>
      <c r="B108" s="44"/>
      <c r="C108" s="44"/>
      <c r="D108" s="44"/>
    </row>
    <row r="109" spans="1:4" x14ac:dyDescent="0.3">
      <c r="A109" s="44"/>
      <c r="B109" s="44"/>
      <c r="C109" s="44"/>
      <c r="D109" s="44"/>
    </row>
    <row r="110" spans="1:4" x14ac:dyDescent="0.3">
      <c r="A110" s="44"/>
      <c r="B110" s="44"/>
      <c r="C110" s="44"/>
      <c r="D110" s="44"/>
    </row>
    <row r="111" spans="1:4" x14ac:dyDescent="0.3">
      <c r="A111" s="44"/>
      <c r="B111" s="44"/>
      <c r="C111" s="44"/>
      <c r="D111" s="44"/>
    </row>
    <row r="112" spans="1:4" x14ac:dyDescent="0.3">
      <c r="A112" s="44"/>
      <c r="B112" s="44"/>
      <c r="C112" s="44"/>
      <c r="D112" s="44"/>
    </row>
    <row r="133" spans="1:6" x14ac:dyDescent="0.3">
      <c r="A133" s="26" t="s">
        <v>1584</v>
      </c>
      <c r="B133" s="26" t="s">
        <v>1484</v>
      </c>
      <c r="C133" s="26" t="s">
        <v>1617</v>
      </c>
      <c r="D133" s="26" t="s">
        <v>1627</v>
      </c>
      <c r="E133" s="26" t="s">
        <v>1543</v>
      </c>
      <c r="F133" s="26" t="s">
        <v>1592</v>
      </c>
    </row>
    <row r="134" spans="1:6" x14ac:dyDescent="0.3">
      <c r="A134" s="6" t="s">
        <v>56</v>
      </c>
      <c r="B134" s="6">
        <v>63</v>
      </c>
      <c r="C134" s="6">
        <v>38</v>
      </c>
      <c r="D134" s="6">
        <v>16</v>
      </c>
      <c r="E134" s="8">
        <f>C134/B134</f>
        <v>0.60317460317460314</v>
      </c>
      <c r="F134" s="8">
        <f>D134/B134</f>
        <v>0.25396825396825395</v>
      </c>
    </row>
    <row r="135" spans="1:6" x14ac:dyDescent="0.3">
      <c r="A135" s="6" t="s">
        <v>44</v>
      </c>
      <c r="B135" s="6">
        <v>88</v>
      </c>
      <c r="C135" s="6">
        <v>48</v>
      </c>
      <c r="D135" s="6">
        <v>0</v>
      </c>
      <c r="E135" s="8">
        <f t="shared" ref="E135:E138" si="2">C135/B135</f>
        <v>0.54545454545454541</v>
      </c>
      <c r="F135" s="8">
        <f t="shared" ref="F135:F138" si="3">D135/B135</f>
        <v>0</v>
      </c>
    </row>
    <row r="136" spans="1:6" x14ac:dyDescent="0.3">
      <c r="A136" s="6" t="s">
        <v>65</v>
      </c>
      <c r="B136" s="6">
        <v>61</v>
      </c>
      <c r="C136" s="6">
        <v>43</v>
      </c>
      <c r="D136" s="6">
        <v>1</v>
      </c>
      <c r="E136" s="8">
        <f t="shared" si="2"/>
        <v>0.70491803278688525</v>
      </c>
      <c r="F136" s="8">
        <f t="shared" si="3"/>
        <v>1.6393442622950821E-2</v>
      </c>
    </row>
    <row r="137" spans="1:6" x14ac:dyDescent="0.3">
      <c r="A137" s="6" t="s">
        <v>30</v>
      </c>
      <c r="B137" s="6">
        <v>82</v>
      </c>
      <c r="C137" s="6">
        <v>35</v>
      </c>
      <c r="D137" s="6">
        <v>0</v>
      </c>
      <c r="E137" s="8">
        <f t="shared" si="2"/>
        <v>0.42682926829268292</v>
      </c>
      <c r="F137" s="8">
        <f t="shared" si="3"/>
        <v>0</v>
      </c>
    </row>
    <row r="138" spans="1:6" x14ac:dyDescent="0.3">
      <c r="A138" s="6" t="s">
        <v>112</v>
      </c>
      <c r="B138" s="6">
        <v>52</v>
      </c>
      <c r="C138" s="6">
        <v>16</v>
      </c>
      <c r="D138" s="6">
        <v>0</v>
      </c>
      <c r="E138" s="8">
        <f t="shared" si="2"/>
        <v>0.30769230769230771</v>
      </c>
      <c r="F138" s="8">
        <f t="shared" si="3"/>
        <v>0</v>
      </c>
    </row>
    <row r="140" spans="1:6" x14ac:dyDescent="0.3">
      <c r="A140" s="34" t="s">
        <v>1628</v>
      </c>
      <c r="B140" s="34"/>
      <c r="C140" s="34"/>
      <c r="D140" s="34"/>
      <c r="E140" s="34"/>
      <c r="F140" s="34"/>
    </row>
    <row r="141" spans="1:6" x14ac:dyDescent="0.3">
      <c r="A141" s="34"/>
      <c r="B141" s="34"/>
      <c r="C141" s="34"/>
      <c r="D141" s="34"/>
      <c r="E141" s="34"/>
      <c r="F141" s="34"/>
    </row>
  </sheetData>
  <mergeCells count="6">
    <mergeCell ref="A23:D29"/>
    <mergeCell ref="A52:E56"/>
    <mergeCell ref="A78:C84"/>
    <mergeCell ref="A107:D112"/>
    <mergeCell ref="A140:F141"/>
    <mergeCell ref="A1:W3"/>
  </mergeCells>
  <conditionalFormatting pivot="1" sqref="B103:D104">
    <cfRule type="colorScale" priority="2">
      <colorScale>
        <cfvo type="min"/>
        <cfvo type="percentile" val="50"/>
        <cfvo type="max"/>
        <color rgb="FF63BE7B"/>
        <color rgb="FFFFEB84"/>
        <color rgb="FFF8696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147603-95BA-4BAD-AAAA-33F03EA166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urbanthreads_q4</vt:lpstr>
      <vt:lpstr>All Analysis</vt:lpstr>
      <vt:lpstr>Trend Indentification</vt:lpstr>
      <vt:lpstr>Segmentation Analysis</vt:lpstr>
      <vt:lpstr>KPI Calculations</vt:lpstr>
      <vt:lpstr>Business Interpretation</vt:lpstr>
      <vt:lpstr>Data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Kumar</dc:creator>
  <cp:lastModifiedBy>Nikhil Kumar</cp:lastModifiedBy>
  <dcterms:created xsi:type="dcterms:W3CDTF">2026-02-04T05:47:27Z</dcterms:created>
  <dcterms:modified xsi:type="dcterms:W3CDTF">2026-02-04T23:14:16Z</dcterms:modified>
</cp:coreProperties>
</file>